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cloudprodamazhotmail-my.sharepoint.com/personal/rogeriolima_prefeitura_sp_gov_br/Documents/Backup PC SMS/x250993/Desktop/Projetos Programação/"/>
    </mc:Choice>
  </mc:AlternateContent>
  <xr:revisionPtr revIDLastSave="38" documentId="13_ncr:1_{5ACAC596-92FB-43A5-8A4F-30AA3823C584}" xr6:coauthVersionLast="47" xr6:coauthVersionMax="47" xr10:uidLastSave="{383E25BC-CED1-48FA-93B2-B0EF6C104723}"/>
  <bookViews>
    <workbookView xWindow="-28920" yWindow="-120" windowWidth="29040" windowHeight="15720" xr2:uid="{00000000-000D-0000-FFFF-FFFF00000000}"/>
  </bookViews>
  <sheets>
    <sheet name="Entrada" sheetId="4" r:id="rId1"/>
    <sheet name="Plan1" sheetId="1" r:id="rId2"/>
    <sheet name="Plan2" sheetId="3" r:id="rId3"/>
    <sheet name="Nomes Japon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5" i="1" l="1"/>
  <c r="H77" i="1"/>
  <c r="H22" i="1"/>
  <c r="F20" i="1"/>
  <c r="D25" i="2"/>
  <c r="B309" i="1"/>
  <c r="B51" i="3"/>
  <c r="B65" i="1"/>
  <c r="F185" i="1"/>
  <c r="D282" i="1"/>
  <c r="H27" i="2"/>
  <c r="F28" i="2"/>
  <c r="H291" i="1"/>
  <c r="F188" i="1"/>
  <c r="H31" i="3"/>
  <c r="F275" i="1"/>
  <c r="F82" i="1"/>
  <c r="F222" i="1"/>
  <c r="F71" i="1"/>
  <c r="B42" i="2"/>
  <c r="H9" i="3"/>
  <c r="D242" i="1"/>
  <c r="F312" i="1"/>
  <c r="F7" i="1"/>
  <c r="H306" i="1"/>
  <c r="F9" i="1"/>
  <c r="H241" i="1"/>
  <c r="B41" i="1"/>
  <c r="F43" i="2"/>
  <c r="D21" i="2"/>
  <c r="F167" i="1"/>
  <c r="D16" i="1"/>
  <c r="B141" i="1"/>
  <c r="H53" i="1"/>
  <c r="B258" i="1"/>
  <c r="H117" i="1"/>
  <c r="B114" i="1"/>
  <c r="H272" i="1"/>
  <c r="F17" i="1"/>
  <c r="D67" i="1"/>
  <c r="B311" i="1"/>
  <c r="D10" i="2"/>
  <c r="B119" i="1"/>
  <c r="F39" i="2"/>
  <c r="H16" i="1"/>
  <c r="D28" i="3"/>
  <c r="B308" i="1"/>
  <c r="D111" i="1"/>
  <c r="D128" i="1"/>
  <c r="F51" i="3"/>
  <c r="D34" i="1"/>
  <c r="D216" i="1"/>
  <c r="B27" i="2"/>
  <c r="F38" i="1"/>
  <c r="H16" i="3"/>
  <c r="B127" i="1"/>
  <c r="D9" i="2"/>
  <c r="B261" i="1"/>
  <c r="H58" i="1"/>
  <c r="F237" i="1"/>
  <c r="B134" i="1"/>
  <c r="D46" i="3"/>
  <c r="D40" i="3"/>
  <c r="F40" i="1"/>
  <c r="F55" i="1"/>
  <c r="H101" i="1"/>
  <c r="D101" i="1"/>
  <c r="D88" i="1"/>
  <c r="F97" i="1"/>
  <c r="D225" i="1"/>
  <c r="B314" i="1"/>
  <c r="H126" i="1"/>
  <c r="B42" i="3"/>
  <c r="B161" i="1"/>
  <c r="B276" i="1"/>
  <c r="B38" i="1"/>
  <c r="F189" i="1"/>
  <c r="F306" i="1"/>
  <c r="H42" i="2"/>
  <c r="D92" i="1"/>
  <c r="D3" i="2"/>
  <c r="F32" i="1"/>
  <c r="H49" i="3"/>
  <c r="B260" i="1"/>
  <c r="H290" i="1"/>
  <c r="H294" i="1"/>
  <c r="D140" i="1"/>
  <c r="B131" i="1"/>
  <c r="B129" i="1"/>
  <c r="F85" i="1"/>
  <c r="H7" i="1"/>
  <c r="H64" i="1"/>
  <c r="B53" i="1"/>
  <c r="H170" i="1"/>
  <c r="B14" i="1"/>
  <c r="F291" i="1"/>
  <c r="B10" i="3"/>
  <c r="H176" i="1"/>
  <c r="H6" i="3"/>
  <c r="B201" i="1"/>
  <c r="B10" i="1"/>
  <c r="H23" i="1"/>
  <c r="B139" i="1"/>
  <c r="D108" i="1"/>
  <c r="B197" i="1"/>
  <c r="B285" i="1"/>
  <c r="B13" i="2"/>
  <c r="F299" i="1"/>
  <c r="B107" i="1"/>
  <c r="F128" i="1"/>
  <c r="F117" i="1"/>
  <c r="D9" i="3"/>
  <c r="H152" i="1"/>
  <c r="B237" i="1"/>
  <c r="D229" i="1"/>
  <c r="F229" i="1"/>
  <c r="D40" i="1"/>
  <c r="B16" i="1"/>
  <c r="B56" i="1"/>
  <c r="B223" i="1"/>
  <c r="B185" i="1"/>
  <c r="B216" i="1"/>
  <c r="F47" i="1"/>
  <c r="B21" i="2"/>
  <c r="H254" i="1"/>
  <c r="H270" i="1"/>
  <c r="D131" i="1"/>
  <c r="F56" i="1"/>
  <c r="H28" i="2"/>
  <c r="H83" i="1"/>
  <c r="F3" i="2"/>
  <c r="H97" i="1"/>
  <c r="H267" i="1"/>
  <c r="H201" i="1"/>
  <c r="B291" i="1"/>
  <c r="F48" i="3"/>
  <c r="B31" i="1"/>
  <c r="B99" i="1"/>
  <c r="H260" i="1"/>
  <c r="D102" i="1"/>
  <c r="D30" i="2"/>
  <c r="D120" i="1"/>
  <c r="D37" i="2"/>
  <c r="F127" i="1"/>
  <c r="F37" i="3"/>
  <c r="B28" i="2"/>
  <c r="F105" i="1"/>
  <c r="F279" i="1"/>
  <c r="B239" i="1"/>
  <c r="B269" i="1"/>
  <c r="F86" i="1"/>
  <c r="B130" i="1"/>
  <c r="F30" i="2"/>
  <c r="D31" i="2"/>
  <c r="H18" i="3"/>
  <c r="H12" i="2"/>
  <c r="B49" i="3"/>
  <c r="B168" i="1"/>
  <c r="F120" i="1"/>
  <c r="D99" i="1"/>
  <c r="B79" i="1"/>
  <c r="F24" i="3"/>
  <c r="B270" i="1"/>
  <c r="B33" i="2"/>
  <c r="H70" i="1"/>
  <c r="H188" i="1"/>
  <c r="H281" i="1"/>
  <c r="F61" i="1"/>
  <c r="F122" i="1"/>
  <c r="H143" i="1"/>
  <c r="H3" i="1"/>
  <c r="F201" i="1"/>
  <c r="H124" i="1"/>
  <c r="H210" i="1"/>
  <c r="H49" i="1"/>
  <c r="F34" i="3"/>
  <c r="F19" i="1"/>
  <c r="D189" i="1"/>
  <c r="D231" i="1"/>
  <c r="B207" i="1"/>
  <c r="H7" i="2"/>
  <c r="D132" i="1"/>
  <c r="H98" i="1"/>
  <c r="D293" i="1"/>
  <c r="H38" i="1"/>
  <c r="D82" i="1"/>
  <c r="F37" i="2"/>
  <c r="F285" i="1"/>
  <c r="F21" i="2"/>
  <c r="F10" i="1"/>
  <c r="B229" i="1"/>
  <c r="B192" i="1"/>
  <c r="F132" i="1"/>
  <c r="H85" i="1"/>
  <c r="H52" i="3"/>
  <c r="B19" i="3"/>
  <c r="H39" i="2"/>
  <c r="B321" i="1"/>
  <c r="B183" i="1"/>
  <c r="B222" i="1"/>
  <c r="H135" i="1"/>
  <c r="F91" i="1"/>
  <c r="D50" i="1"/>
  <c r="H177" i="1"/>
  <c r="B203" i="1"/>
  <c r="F16" i="2"/>
  <c r="H263" i="1"/>
  <c r="F4" i="3"/>
  <c r="H179" i="1"/>
  <c r="H140" i="1"/>
  <c r="H3" i="2"/>
  <c r="F225" i="1"/>
  <c r="B59" i="1"/>
  <c r="F50" i="1"/>
  <c r="B182" i="1"/>
  <c r="H36" i="3"/>
  <c r="F255" i="1"/>
  <c r="D276" i="1"/>
  <c r="B155" i="1"/>
  <c r="B10" i="2"/>
  <c r="B71" i="1"/>
  <c r="F49" i="3"/>
  <c r="F35" i="1"/>
  <c r="F297" i="1"/>
  <c r="H157" i="1"/>
  <c r="H164" i="1"/>
  <c r="B312" i="1"/>
  <c r="D206" i="1"/>
  <c r="F162" i="1"/>
  <c r="D24" i="2"/>
  <c r="B278" i="1"/>
  <c r="B91" i="1"/>
  <c r="D185" i="1"/>
  <c r="D285" i="1"/>
  <c r="F143" i="1"/>
  <c r="B273" i="1"/>
  <c r="H214" i="1"/>
  <c r="H67" i="1"/>
  <c r="D22" i="1"/>
  <c r="H71" i="1"/>
  <c r="F13" i="3"/>
  <c r="D7" i="1"/>
  <c r="D19" i="3"/>
  <c r="H41" i="1"/>
  <c r="H299" i="1"/>
  <c r="F159" i="1"/>
  <c r="D151" i="1"/>
  <c r="B294" i="1"/>
  <c r="F36" i="2"/>
  <c r="D294" i="1"/>
  <c r="F140" i="1"/>
  <c r="H122" i="1"/>
  <c r="F89" i="1"/>
  <c r="H255" i="1"/>
  <c r="D162" i="1"/>
  <c r="B25" i="2"/>
  <c r="F10" i="3"/>
  <c r="H4" i="1"/>
  <c r="H68" i="1"/>
  <c r="B320" i="1"/>
  <c r="F28" i="3"/>
  <c r="H320" i="1"/>
  <c r="B120" i="1"/>
  <c r="D18" i="3"/>
  <c r="H131" i="1"/>
  <c r="F206" i="1"/>
  <c r="B238" i="1"/>
  <c r="F257" i="1"/>
  <c r="B36" i="2"/>
  <c r="B255" i="1"/>
  <c r="F7" i="3"/>
  <c r="H3" i="3"/>
  <c r="H130" i="1"/>
  <c r="D133" i="1"/>
  <c r="B17" i="1"/>
  <c r="B76" i="1"/>
  <c r="D260" i="1"/>
  <c r="B264" i="1"/>
  <c r="H315" i="1"/>
  <c r="H314" i="1"/>
  <c r="F129" i="1"/>
  <c r="D197" i="1"/>
  <c r="B7" i="3"/>
  <c r="F23" i="1"/>
  <c r="B102" i="1"/>
  <c r="F263" i="1"/>
  <c r="H55" i="1"/>
  <c r="D219" i="1"/>
  <c r="H16" i="2"/>
  <c r="B25" i="1"/>
  <c r="B117" i="1"/>
  <c r="H94" i="1"/>
  <c r="H204" i="1"/>
  <c r="F309" i="1"/>
  <c r="D12" i="2"/>
  <c r="H74" i="1"/>
  <c r="D159" i="1"/>
  <c r="B37" i="3"/>
  <c r="D228" i="1"/>
  <c r="F296" i="1"/>
  <c r="D148" i="1"/>
  <c r="D52" i="1"/>
  <c r="B43" i="2"/>
  <c r="H207" i="1"/>
  <c r="H238" i="1"/>
  <c r="D126" i="1"/>
  <c r="F134" i="1"/>
  <c r="D31" i="3"/>
  <c r="B58" i="1"/>
  <c r="B37" i="2"/>
  <c r="D288" i="1"/>
  <c r="H102" i="1"/>
  <c r="D308" i="1"/>
  <c r="H51" i="3"/>
  <c r="H189" i="1"/>
  <c r="D20" i="1"/>
  <c r="H213" i="1"/>
  <c r="F18" i="2"/>
  <c r="D209" i="1"/>
  <c r="B167" i="1"/>
  <c r="H46" i="1"/>
  <c r="B288" i="1"/>
  <c r="B284" i="1"/>
  <c r="H26" i="1"/>
  <c r="H293" i="1"/>
  <c r="H161" i="1"/>
  <c r="H282" i="1"/>
  <c r="F25" i="2"/>
  <c r="H12" i="3"/>
  <c r="F46" i="3"/>
  <c r="B242" i="1"/>
  <c r="D284" i="1"/>
  <c r="B111" i="1"/>
  <c r="B20" i="1"/>
  <c r="H10" i="1"/>
  <c r="F284" i="1"/>
  <c r="F174" i="1"/>
  <c r="D68" i="1"/>
  <c r="F31" i="3"/>
  <c r="B46" i="3"/>
  <c r="D210" i="1"/>
  <c r="B46" i="1"/>
  <c r="H10" i="3"/>
  <c r="D278" i="1"/>
  <c r="D317" i="1"/>
  <c r="H303" i="1"/>
  <c r="B174" i="1"/>
  <c r="H31" i="2"/>
  <c r="D174" i="1"/>
  <c r="D238" i="1"/>
  <c r="D4" i="3"/>
  <c r="B68" i="1"/>
  <c r="F165" i="1"/>
  <c r="B204" i="1"/>
  <c r="H46" i="3"/>
  <c r="B25" i="3"/>
  <c r="B296" i="1"/>
  <c r="D309" i="1"/>
  <c r="B250" i="1"/>
  <c r="F239" i="1"/>
  <c r="H203" i="1"/>
  <c r="B200" i="1"/>
  <c r="D245" i="1"/>
  <c r="B26" i="1"/>
  <c r="B43" i="1"/>
  <c r="D143" i="1"/>
  <c r="H30" i="2"/>
  <c r="D220" i="1"/>
  <c r="F231" i="1"/>
  <c r="H273" i="1"/>
  <c r="D36" i="2"/>
  <c r="D300" i="1"/>
  <c r="F250" i="1"/>
  <c r="H46" i="2"/>
  <c r="B108" i="1"/>
  <c r="F123" i="1"/>
  <c r="D255" i="1"/>
  <c r="F244" i="1"/>
  <c r="H116" i="1"/>
  <c r="D320" i="1"/>
  <c r="D58" i="1"/>
  <c r="B241" i="1"/>
  <c r="D104" i="1"/>
  <c r="D33" i="3"/>
  <c r="D177" i="1"/>
  <c r="F294" i="1"/>
  <c r="H229" i="1"/>
  <c r="H134" i="1"/>
  <c r="D53" i="1"/>
  <c r="D4" i="1"/>
  <c r="H216" i="1"/>
  <c r="B9" i="2"/>
  <c r="B132" i="1"/>
  <c r="B219" i="1"/>
  <c r="D269" i="1"/>
  <c r="F113" i="1"/>
  <c r="F110" i="1"/>
  <c r="B126" i="1"/>
  <c r="F92" i="1"/>
  <c r="B245" i="1"/>
  <c r="F4" i="2"/>
  <c r="D321" i="1"/>
  <c r="D186" i="1"/>
  <c r="F59" i="1"/>
  <c r="D41" i="1"/>
  <c r="D107" i="1"/>
  <c r="B180" i="1"/>
  <c r="B13" i="3"/>
  <c r="H162" i="1"/>
  <c r="D42" i="2"/>
  <c r="H123" i="1"/>
  <c r="H231" i="1"/>
  <c r="B266" i="1"/>
  <c r="F204" i="1"/>
  <c r="H297" i="1"/>
  <c r="D263" i="1"/>
  <c r="F31" i="2"/>
  <c r="B40" i="1"/>
  <c r="B290" i="1"/>
  <c r="F158" i="1"/>
  <c r="H120" i="1"/>
  <c r="H82" i="1"/>
  <c r="B24" i="3"/>
  <c r="D306" i="1"/>
  <c r="B305" i="1"/>
  <c r="B179" i="1"/>
  <c r="H4" i="2"/>
  <c r="D65" i="1"/>
  <c r="B35" i="1"/>
  <c r="D19" i="2"/>
  <c r="B80" i="1"/>
  <c r="D201" i="1"/>
  <c r="B113" i="1"/>
  <c r="F308" i="1"/>
  <c r="D76" i="1"/>
  <c r="F6" i="1"/>
  <c r="H321" i="1"/>
  <c r="D234" i="1"/>
  <c r="B32" i="1"/>
  <c r="D176" i="1"/>
  <c r="F314" i="1"/>
  <c r="H113" i="1"/>
  <c r="F133" i="1"/>
  <c r="F269" i="1"/>
  <c r="F42" i="2"/>
  <c r="B9" i="3"/>
  <c r="H35" i="1"/>
  <c r="B154" i="1"/>
  <c r="H150" i="1"/>
  <c r="F30" i="3"/>
  <c r="H226" i="1"/>
  <c r="D7" i="2"/>
  <c r="F95" i="1"/>
  <c r="H114" i="1"/>
  <c r="H33" i="2"/>
  <c r="F186" i="1"/>
  <c r="H269" i="1"/>
  <c r="D40" i="2"/>
  <c r="H13" i="3"/>
  <c r="F251" i="1"/>
  <c r="F228" i="1"/>
  <c r="D70" i="1"/>
  <c r="B165" i="1"/>
  <c r="D30" i="3"/>
  <c r="F44" i="1"/>
  <c r="D144" i="1"/>
  <c r="F177" i="1"/>
  <c r="D127" i="1"/>
  <c r="H15" i="2"/>
  <c r="H223" i="1"/>
  <c r="H154" i="1"/>
  <c r="H105" i="1"/>
  <c r="F74" i="1"/>
  <c r="F300" i="1"/>
  <c r="D28" i="2"/>
  <c r="H25" i="3"/>
  <c r="F207" i="1"/>
  <c r="D188" i="1"/>
  <c r="H88" i="1"/>
  <c r="B124" i="1"/>
  <c r="H86" i="1"/>
  <c r="B228" i="1"/>
  <c r="F52" i="1"/>
  <c r="H79" i="1"/>
  <c r="D6" i="3"/>
  <c r="H22" i="3"/>
  <c r="H182" i="1"/>
  <c r="D211" i="1"/>
  <c r="F67" i="1"/>
  <c r="H165" i="1"/>
  <c r="F217" i="1"/>
  <c r="F170" i="1"/>
  <c r="D46" i="2"/>
  <c r="H21" i="2"/>
  <c r="D173" i="1"/>
  <c r="B188" i="1"/>
  <c r="H173" i="1"/>
  <c r="H17" i="1"/>
  <c r="H9" i="2"/>
  <c r="H139" i="1"/>
  <c r="B74" i="1"/>
  <c r="H11" i="1"/>
  <c r="F73" i="1"/>
  <c r="D194" i="1"/>
  <c r="F15" i="2"/>
  <c r="H73" i="1"/>
  <c r="B211" i="1"/>
  <c r="B150" i="1"/>
  <c r="F238" i="1"/>
  <c r="H225" i="1"/>
  <c r="F104" i="1"/>
  <c r="B95" i="1"/>
  <c r="F146" i="1"/>
  <c r="F16" i="1"/>
  <c r="B36" i="3"/>
  <c r="H34" i="2"/>
  <c r="B11" i="1"/>
  <c r="D9" i="1"/>
  <c r="B16" i="3"/>
  <c r="D29" i="1"/>
  <c r="B50" i="1"/>
  <c r="D116" i="1"/>
  <c r="F21" i="3"/>
  <c r="H128" i="1"/>
  <c r="H159" i="1"/>
  <c r="D171" i="1"/>
  <c r="B3" i="3"/>
  <c r="F157" i="1"/>
  <c r="B88" i="1"/>
  <c r="F80" i="1"/>
  <c r="D39" i="2"/>
  <c r="D244" i="1"/>
  <c r="H37" i="3"/>
  <c r="H309" i="1"/>
  <c r="D250" i="1"/>
  <c r="D239" i="1"/>
  <c r="B4" i="1"/>
  <c r="B33" i="3"/>
  <c r="F12" i="3"/>
  <c r="D23" i="1"/>
  <c r="B47" i="1"/>
  <c r="B12" i="3"/>
  <c r="F40" i="2"/>
  <c r="D79" i="1"/>
  <c r="D130" i="1"/>
  <c r="D179" i="1"/>
  <c r="H39" i="3"/>
  <c r="B6" i="2"/>
  <c r="B30" i="2"/>
  <c r="D11" i="1"/>
  <c r="F171" i="1"/>
  <c r="B86" i="1"/>
  <c r="H43" i="2"/>
  <c r="B30" i="3"/>
  <c r="F26" i="1"/>
  <c r="H44" i="1"/>
  <c r="F39" i="3"/>
  <c r="B143" i="1"/>
  <c r="D80" i="1"/>
  <c r="D315" i="1"/>
  <c r="B104" i="1"/>
  <c r="F102" i="1"/>
  <c r="H52" i="1"/>
  <c r="D168" i="1"/>
  <c r="F192" i="1"/>
  <c r="B173" i="1"/>
  <c r="D119" i="1"/>
  <c r="F270" i="1"/>
  <c r="H21" i="3"/>
  <c r="F139" i="1"/>
  <c r="D16" i="3"/>
  <c r="D312" i="1"/>
  <c r="D46" i="1"/>
  <c r="B267" i="1"/>
  <c r="D141" i="1"/>
  <c r="D19" i="1"/>
  <c r="H137" i="1"/>
  <c r="D110" i="1"/>
  <c r="D12" i="3"/>
  <c r="H136" i="1"/>
  <c r="B148" i="1"/>
  <c r="F191" i="1"/>
  <c r="B159" i="1"/>
  <c r="F18" i="3"/>
  <c r="B209" i="1"/>
  <c r="H47" i="1"/>
  <c r="D154" i="1"/>
  <c r="D25" i="1"/>
  <c r="H111" i="1"/>
  <c r="F65" i="1"/>
  <c r="F303" i="1"/>
  <c r="D213" i="1"/>
  <c r="H167" i="1"/>
  <c r="F53" i="1"/>
  <c r="H40" i="3"/>
  <c r="H43" i="3"/>
  <c r="D232" i="1"/>
  <c r="H191" i="1"/>
  <c r="F182" i="1"/>
  <c r="D296" i="1"/>
  <c r="B158" i="1"/>
  <c r="F148" i="1"/>
  <c r="D45" i="3"/>
  <c r="H183" i="1"/>
  <c r="H24" i="2"/>
  <c r="H232" i="1"/>
  <c r="F13" i="2"/>
  <c r="F33" i="2"/>
  <c r="D36" i="3"/>
  <c r="F42" i="3"/>
  <c r="H217" i="1"/>
  <c r="D25" i="3"/>
  <c r="D52" i="3"/>
  <c r="D170" i="1"/>
  <c r="F62" i="1"/>
  <c r="D253" i="1"/>
  <c r="D7" i="3"/>
  <c r="F315" i="1"/>
  <c r="H31" i="1"/>
  <c r="H4" i="3"/>
  <c r="D155" i="1"/>
  <c r="F108" i="1"/>
  <c r="B140" i="1"/>
  <c r="F234" i="1"/>
  <c r="H239" i="1"/>
  <c r="D26" i="1"/>
  <c r="B226" i="1"/>
  <c r="D318" i="1"/>
  <c r="D113" i="1"/>
  <c r="D27" i="3"/>
  <c r="H19" i="2"/>
  <c r="H129" i="1"/>
  <c r="D275" i="1"/>
  <c r="F211" i="1"/>
  <c r="D44" i="1"/>
  <c r="F317" i="1"/>
  <c r="F88" i="1"/>
  <c r="B15" i="3"/>
  <c r="H7" i="3"/>
  <c r="B24" i="2"/>
  <c r="D182" i="1"/>
  <c r="H108" i="1"/>
  <c r="F9" i="3"/>
  <c r="B144" i="1"/>
  <c r="B299" i="1"/>
  <c r="D43" i="3"/>
  <c r="H174" i="1"/>
  <c r="D273" i="1"/>
  <c r="B244" i="1"/>
  <c r="B40" i="2"/>
  <c r="H219" i="1"/>
  <c r="D192" i="1"/>
  <c r="B287" i="1"/>
  <c r="D164" i="1"/>
  <c r="B6" i="1"/>
  <c r="F46" i="1"/>
  <c r="D10" i="3"/>
  <c r="F321" i="1"/>
  <c r="F258" i="1"/>
  <c r="B110" i="1"/>
  <c r="D27" i="2"/>
  <c r="B282" i="1"/>
  <c r="D71" i="1"/>
  <c r="B297" i="1"/>
  <c r="D123" i="1"/>
  <c r="D22" i="2"/>
  <c r="D191" i="1"/>
  <c r="B12" i="2"/>
  <c r="D4" i="2"/>
  <c r="H235" i="1"/>
  <c r="H127" i="1"/>
  <c r="F119" i="1"/>
  <c r="D13" i="1"/>
  <c r="F43" i="1"/>
  <c r="B34" i="3"/>
  <c r="D305" i="1"/>
  <c r="F22" i="2"/>
  <c r="B247" i="1"/>
  <c r="B28" i="3"/>
  <c r="D91" i="1"/>
  <c r="F25" i="3"/>
  <c r="D254" i="1"/>
  <c r="B123" i="1"/>
  <c r="H40" i="1"/>
  <c r="D13" i="3"/>
  <c r="F318" i="1"/>
  <c r="H257" i="1"/>
  <c r="F9" i="2"/>
  <c r="F40" i="3"/>
  <c r="B98" i="1"/>
  <c r="D38" i="1"/>
  <c r="D3" i="1"/>
  <c r="B70" i="1"/>
  <c r="H197" i="1"/>
  <c r="D49" i="1"/>
  <c r="B7" i="2"/>
  <c r="F49" i="1"/>
  <c r="H305" i="1"/>
  <c r="H9" i="1"/>
  <c r="H34" i="3"/>
  <c r="F214" i="1"/>
  <c r="B52" i="1"/>
  <c r="H279" i="1"/>
  <c r="F154" i="1"/>
  <c r="D297" i="1"/>
  <c r="H13" i="2"/>
  <c r="H25" i="1"/>
  <c r="F130" i="1"/>
  <c r="D45" i="2"/>
  <c r="H198" i="1"/>
  <c r="D235" i="1"/>
  <c r="B94" i="1"/>
  <c r="D14" i="1"/>
  <c r="H311" i="1"/>
  <c r="B171" i="1"/>
  <c r="D6" i="2"/>
  <c r="B116" i="1"/>
  <c r="F320" i="1"/>
  <c r="F168" i="1"/>
  <c r="F99" i="1"/>
  <c r="B195" i="1"/>
  <c r="F213" i="1"/>
  <c r="D198" i="1"/>
  <c r="H206" i="1"/>
  <c r="B198" i="1"/>
  <c r="F293" i="1"/>
  <c r="F15" i="3"/>
  <c r="D257" i="1"/>
  <c r="F151" i="1"/>
  <c r="H33" i="3"/>
  <c r="H34" i="1"/>
  <c r="B303" i="1"/>
  <c r="D105" i="1"/>
  <c r="D217" i="1"/>
  <c r="F194" i="1"/>
  <c r="H37" i="2"/>
  <c r="F52" i="3"/>
  <c r="F41" i="1"/>
  <c r="F305" i="1"/>
  <c r="B85" i="1"/>
  <c r="B135" i="1"/>
  <c r="F124" i="1"/>
  <c r="F219" i="1"/>
  <c r="B13" i="1"/>
  <c r="B302" i="1"/>
  <c r="F45" i="3"/>
  <c r="F111" i="1"/>
  <c r="F210" i="1"/>
  <c r="D56" i="1"/>
  <c r="B122" i="1"/>
  <c r="D16" i="2"/>
  <c r="B146" i="1"/>
  <c r="B64" i="1"/>
  <c r="F235" i="1"/>
  <c r="F216" i="1"/>
  <c r="D134" i="1"/>
  <c r="H185" i="1"/>
  <c r="H285" i="1"/>
  <c r="H62" i="1"/>
  <c r="D290" i="1"/>
  <c r="D135" i="1"/>
  <c r="D165" i="1"/>
  <c r="B220" i="1"/>
  <c r="D85" i="1"/>
  <c r="D183" i="1"/>
  <c r="B92" i="1"/>
  <c r="B281" i="1"/>
  <c r="B31" i="2"/>
  <c r="H302" i="1"/>
  <c r="F144" i="1"/>
  <c r="H104" i="1"/>
  <c r="H19" i="3"/>
  <c r="B213" i="1"/>
  <c r="F226" i="1"/>
  <c r="B164" i="1"/>
  <c r="B16" i="2"/>
  <c r="H146" i="1"/>
  <c r="H95" i="1"/>
  <c r="D124" i="1"/>
  <c r="D73" i="1"/>
  <c r="H133" i="1"/>
  <c r="B293" i="1"/>
  <c r="F278" i="1"/>
  <c r="F290" i="1"/>
  <c r="H45" i="3"/>
  <c r="D146" i="1"/>
  <c r="H209" i="1"/>
  <c r="F11" i="1"/>
  <c r="B52" i="3"/>
  <c r="B206" i="1"/>
  <c r="D303" i="1"/>
  <c r="F58" i="1"/>
  <c r="H28" i="1"/>
  <c r="B210" i="1"/>
  <c r="B29" i="1"/>
  <c r="F183" i="1"/>
  <c r="H42" i="3"/>
  <c r="B254" i="1"/>
  <c r="F76" i="1"/>
  <c r="B235" i="1"/>
  <c r="H222" i="1"/>
  <c r="D89" i="1"/>
  <c r="B39" i="2"/>
  <c r="F273" i="1"/>
  <c r="D61" i="1"/>
  <c r="D17" i="1"/>
  <c r="F195" i="1"/>
  <c r="D62" i="1"/>
  <c r="D34" i="2"/>
  <c r="D15" i="2"/>
  <c r="F14" i="1"/>
  <c r="B315" i="1"/>
  <c r="H119" i="1"/>
  <c r="H296" i="1"/>
  <c r="D200" i="1"/>
  <c r="H237" i="1"/>
  <c r="F242" i="1"/>
  <c r="F114" i="1"/>
  <c r="B67" i="1"/>
  <c r="H27" i="3"/>
  <c r="B300" i="1"/>
  <c r="H151" i="1"/>
  <c r="H158" i="1"/>
  <c r="F22" i="1"/>
  <c r="D180" i="1"/>
  <c r="B194" i="1"/>
  <c r="D37" i="3"/>
  <c r="H132" i="1"/>
  <c r="H76" i="1"/>
  <c r="D261" i="1"/>
  <c r="D223" i="1"/>
  <c r="D83" i="1"/>
  <c r="F64" i="1"/>
  <c r="D207" i="1"/>
  <c r="B136" i="1"/>
  <c r="D117" i="1"/>
  <c r="F77" i="1"/>
  <c r="B234" i="1"/>
  <c r="D31" i="1"/>
  <c r="H192" i="1"/>
  <c r="H258" i="1"/>
  <c r="F126" i="1"/>
  <c r="F31" i="1"/>
  <c r="H180" i="1"/>
  <c r="D51" i="3"/>
  <c r="B157" i="1"/>
  <c r="H141" i="1"/>
  <c r="D34" i="3"/>
  <c r="B263" i="1"/>
  <c r="D139" i="1"/>
  <c r="B46" i="2"/>
  <c r="F260" i="1"/>
  <c r="B31" i="3"/>
  <c r="D3" i="3"/>
  <c r="B152" i="1"/>
  <c r="D214" i="1"/>
  <c r="F24" i="2"/>
  <c r="H200" i="1"/>
  <c r="F4" i="1"/>
  <c r="D264" i="1"/>
  <c r="H19" i="1"/>
  <c r="H28" i="3"/>
  <c r="H61" i="1"/>
  <c r="H300" i="1"/>
  <c r="F276" i="1"/>
  <c r="B4" i="3"/>
  <c r="B176" i="1"/>
  <c r="F94" i="1"/>
  <c r="B45" i="3"/>
  <c r="D6" i="1"/>
  <c r="F245" i="1"/>
  <c r="H40" i="2"/>
  <c r="H24" i="3"/>
  <c r="F220" i="1"/>
  <c r="D161" i="1"/>
  <c r="B232" i="1"/>
  <c r="F287" i="1"/>
  <c r="H65" i="1"/>
  <c r="B62" i="1"/>
  <c r="F12" i="2"/>
  <c r="H56" i="1"/>
  <c r="F241" i="1"/>
  <c r="H312" i="1"/>
  <c r="F282" i="1"/>
  <c r="F200" i="1"/>
  <c r="F116" i="1"/>
  <c r="D203" i="1"/>
  <c r="D21" i="3"/>
  <c r="B217" i="1"/>
  <c r="B44" i="1"/>
  <c r="H89" i="1"/>
  <c r="D47" i="1"/>
  <c r="H195" i="1"/>
  <c r="B186" i="1"/>
  <c r="D43" i="2"/>
  <c r="B49" i="1"/>
  <c r="D137" i="1"/>
  <c r="F101" i="1"/>
  <c r="B83" i="1"/>
  <c r="D86" i="1"/>
  <c r="F10" i="2"/>
  <c r="F131" i="1"/>
  <c r="B133" i="1"/>
  <c r="H171" i="1"/>
  <c r="H50" i="1"/>
  <c r="D302" i="1"/>
  <c r="H29" i="1"/>
  <c r="H14" i="1"/>
  <c r="F6" i="3"/>
  <c r="F13" i="1"/>
  <c r="D22" i="3"/>
  <c r="D158" i="1"/>
  <c r="D129" i="1"/>
  <c r="B19" i="1"/>
  <c r="D291" i="1"/>
  <c r="H242" i="1"/>
  <c r="H245" i="1"/>
  <c r="B73" i="1"/>
  <c r="D247" i="1"/>
  <c r="F25" i="1"/>
  <c r="B22" i="1"/>
  <c r="D98" i="1"/>
  <c r="H15" i="3"/>
  <c r="B40" i="3"/>
  <c r="D150" i="1"/>
  <c r="H6" i="1"/>
  <c r="H244" i="1"/>
  <c r="H30" i="3"/>
  <c r="H6" i="2"/>
  <c r="F141" i="1"/>
  <c r="H99" i="1"/>
  <c r="B231" i="1"/>
  <c r="H266" i="1"/>
  <c r="F152" i="1"/>
  <c r="F272" i="1"/>
  <c r="H287" i="1"/>
  <c r="D136" i="1"/>
  <c r="H45" i="2"/>
  <c r="H250" i="1"/>
  <c r="D59" i="1"/>
  <c r="F223" i="1"/>
  <c r="B147" i="1"/>
  <c r="D167" i="1"/>
  <c r="D49" i="3"/>
  <c r="F150" i="1"/>
  <c r="F37" i="1"/>
  <c r="H318" i="1"/>
  <c r="D55" i="1"/>
  <c r="D270" i="1"/>
  <c r="F7" i="2"/>
  <c r="D24" i="3"/>
  <c r="F45" i="2"/>
  <c r="D147" i="1"/>
  <c r="B23" i="1"/>
  <c r="B253" i="1"/>
  <c r="D28" i="1"/>
  <c r="B7" i="1"/>
  <c r="F6" i="2"/>
  <c r="B137" i="1"/>
  <c r="B39" i="3"/>
  <c r="D95" i="1"/>
  <c r="D43" i="1"/>
  <c r="B19" i="2"/>
  <c r="H275" i="1"/>
  <c r="H148" i="1"/>
  <c r="B248" i="1"/>
  <c r="F136" i="1"/>
  <c r="B105" i="1"/>
  <c r="H59" i="1"/>
  <c r="H248" i="1"/>
  <c r="F164" i="1"/>
  <c r="D287" i="1"/>
  <c r="B225" i="1"/>
  <c r="F281" i="1"/>
  <c r="D314" i="1"/>
  <c r="D237" i="1"/>
  <c r="B251" i="1"/>
  <c r="F79" i="1"/>
  <c r="F43" i="3"/>
  <c r="B101" i="1"/>
  <c r="F311" i="1"/>
  <c r="D122" i="1"/>
  <c r="D272" i="1"/>
  <c r="D279" i="1"/>
  <c r="H276" i="1"/>
  <c r="B34" i="1"/>
  <c r="F29" i="1"/>
  <c r="B89" i="1"/>
  <c r="B306" i="1"/>
  <c r="B18" i="3"/>
  <c r="F147" i="1"/>
  <c r="H308" i="1"/>
  <c r="F266" i="1"/>
  <c r="F232" i="1"/>
  <c r="H144" i="1"/>
  <c r="B128" i="1"/>
  <c r="F34" i="1"/>
  <c r="B3" i="1"/>
  <c r="B45" i="2"/>
  <c r="B318" i="1"/>
  <c r="F180" i="1"/>
  <c r="D32" i="1"/>
  <c r="F267" i="1"/>
  <c r="F197" i="1"/>
  <c r="F27" i="2"/>
  <c r="B191" i="1"/>
  <c r="F264" i="1"/>
  <c r="D97" i="1"/>
  <c r="D18" i="2"/>
  <c r="H32" i="1"/>
  <c r="H18" i="2"/>
  <c r="F34" i="2"/>
  <c r="F179" i="1"/>
  <c r="F16" i="3"/>
  <c r="D37" i="1"/>
  <c r="H13" i="1"/>
  <c r="D114" i="1"/>
  <c r="H220" i="1"/>
  <c r="D258" i="1"/>
  <c r="F247" i="1"/>
  <c r="F3" i="1"/>
  <c r="H194" i="1"/>
  <c r="D35" i="1"/>
  <c r="F198" i="1"/>
  <c r="F33" i="3"/>
  <c r="H91" i="1"/>
  <c r="B4" i="2"/>
  <c r="H20" i="1"/>
  <c r="D267" i="1"/>
  <c r="B272" i="1"/>
  <c r="D222" i="1"/>
  <c r="B170" i="1"/>
  <c r="B37" i="1"/>
  <c r="B275" i="1"/>
  <c r="B9" i="1"/>
  <c r="H25" i="2"/>
  <c r="F27" i="3"/>
  <c r="B177" i="1"/>
  <c r="F83" i="1"/>
  <c r="F3" i="3"/>
  <c r="B3" i="2"/>
  <c r="D248" i="1"/>
  <c r="F46" i="2"/>
  <c r="B21" i="3"/>
  <c r="B279" i="1"/>
  <c r="D64" i="1"/>
  <c r="F36" i="3"/>
  <c r="D251" i="1"/>
  <c r="D152" i="1"/>
  <c r="B6" i="3"/>
  <c r="H10" i="2"/>
  <c r="H234" i="1"/>
  <c r="B18" i="2"/>
  <c r="B257" i="1"/>
  <c r="H247" i="1"/>
  <c r="H253" i="1"/>
  <c r="D77" i="1"/>
  <c r="F19" i="3"/>
  <c r="D311" i="1"/>
  <c r="B61" i="1"/>
  <c r="H228" i="1"/>
  <c r="H107" i="1"/>
  <c r="F203" i="1"/>
  <c r="H284" i="1"/>
  <c r="D13" i="2"/>
  <c r="D33" i="2"/>
  <c r="H261" i="1"/>
  <c r="B28" i="1"/>
  <c r="H110" i="1"/>
  <c r="B151" i="1"/>
  <c r="D10" i="1"/>
  <c r="H278" i="1"/>
  <c r="H155" i="1"/>
  <c r="H251" i="1"/>
  <c r="D299" i="1"/>
  <c r="F19" i="2"/>
  <c r="D157" i="1"/>
  <c r="F70" i="1"/>
  <c r="H37" i="1"/>
  <c r="B82" i="1"/>
  <c r="D74" i="1"/>
  <c r="F22" i="3"/>
  <c r="F161" i="1"/>
  <c r="H36" i="2"/>
  <c r="D241" i="1"/>
  <c r="D195" i="1"/>
  <c r="H43" i="1"/>
  <c r="H186" i="1"/>
  <c r="D226" i="1"/>
  <c r="F176" i="1"/>
  <c r="H48" i="3"/>
  <c r="F28" i="1"/>
  <c r="D94" i="1"/>
  <c r="H317" i="1"/>
  <c r="D39" i="3"/>
  <c r="F209" i="1"/>
  <c r="F253" i="1"/>
  <c r="F155" i="1"/>
  <c r="D42" i="3"/>
  <c r="D281" i="1"/>
  <c r="H264" i="1"/>
  <c r="F98" i="1"/>
  <c r="B27" i="3"/>
  <c r="F288" i="1"/>
  <c r="F135" i="1"/>
  <c r="H22" i="2"/>
  <c r="B15" i="2"/>
  <c r="F248" i="1"/>
  <c r="B48" i="3"/>
  <c r="F302" i="1"/>
  <c r="F254" i="1"/>
  <c r="H211" i="1"/>
  <c r="H168" i="1"/>
  <c r="B189" i="1"/>
  <c r="B43" i="3"/>
  <c r="F261" i="1"/>
  <c r="B77" i="1"/>
  <c r="B317" i="1"/>
  <c r="B22" i="2"/>
  <c r="F68" i="1"/>
  <c r="F137" i="1"/>
  <c r="H92" i="1"/>
  <c r="D48" i="3"/>
  <c r="H80" i="1"/>
  <c r="B34" i="2"/>
  <c r="D266" i="1"/>
  <c r="D15" i="3"/>
  <c r="B97" i="1"/>
  <c r="B214" i="1"/>
  <c r="F107" i="1"/>
  <c r="B162" i="1"/>
  <c r="B22" i="3"/>
  <c r="H147" i="1"/>
  <c r="D204" i="1"/>
  <c r="H288" i="1"/>
  <c r="F173" i="1"/>
  <c r="X7" i="4" a="1"/>
  <c r="X4" i="4" a="1"/>
  <c r="C241" i="1" l="1"/>
  <c r="X7" i="4"/>
  <c r="X4" i="4"/>
  <c r="I314" i="1"/>
  <c r="I206" i="1"/>
  <c r="G42" i="3"/>
  <c r="C237" i="1"/>
  <c r="E9" i="2"/>
  <c r="C188" i="1"/>
  <c r="C231" i="1"/>
  <c r="E247" i="1"/>
  <c r="E302" i="1"/>
  <c r="G173" i="1"/>
  <c r="E58" i="1"/>
  <c r="E206" i="1"/>
  <c r="G19" i="1"/>
  <c r="E281" i="1"/>
  <c r="E161" i="1"/>
  <c r="G76" i="1"/>
  <c r="E36" i="3"/>
  <c r="E173" i="1"/>
  <c r="I269" i="1"/>
  <c r="C290" i="1"/>
  <c r="E320" i="1"/>
  <c r="I12" i="3"/>
  <c r="E9" i="3"/>
  <c r="I284" i="1"/>
  <c r="I234" i="1"/>
  <c r="G3" i="3"/>
  <c r="I13" i="1"/>
  <c r="G197" i="1"/>
  <c r="E290" i="1"/>
  <c r="G213" i="1"/>
  <c r="I40" i="1"/>
  <c r="G33" i="2"/>
  <c r="I116" i="1"/>
  <c r="E260" i="1"/>
  <c r="I164" i="1"/>
  <c r="I49" i="1"/>
  <c r="G139" i="1"/>
  <c r="E244" i="1"/>
  <c r="I21" i="2"/>
  <c r="C40" i="1"/>
  <c r="I308" i="1"/>
  <c r="C101" i="1"/>
  <c r="E28" i="1"/>
  <c r="C73" i="1"/>
  <c r="I24" i="3"/>
  <c r="I42" i="3"/>
  <c r="G244" i="1"/>
  <c r="C27" i="2"/>
  <c r="C76" i="1"/>
  <c r="I157" i="1"/>
  <c r="C299" i="1"/>
  <c r="I21" i="3"/>
  <c r="E39" i="2"/>
  <c r="I33" i="2"/>
  <c r="E48" i="3"/>
  <c r="E42" i="3"/>
  <c r="C107" i="1"/>
  <c r="E216" i="1"/>
  <c r="I161" i="1"/>
  <c r="I43" i="1"/>
  <c r="E299" i="1"/>
  <c r="G170" i="1"/>
  <c r="G299" i="1"/>
  <c r="E34" i="1"/>
  <c r="E263" i="1"/>
  <c r="I293" i="1"/>
  <c r="G203" i="1"/>
  <c r="E37" i="1"/>
  <c r="G64" i="1"/>
  <c r="I185" i="1"/>
  <c r="G51" i="3"/>
  <c r="G9" i="3"/>
  <c r="I24" i="2"/>
  <c r="I3" i="1"/>
  <c r="E119" i="1"/>
  <c r="C88" i="1"/>
  <c r="C253" i="1"/>
  <c r="E167" i="1"/>
  <c r="E6" i="1"/>
  <c r="C284" i="1"/>
  <c r="I3" i="3"/>
  <c r="I143" i="1"/>
  <c r="G320" i="1"/>
  <c r="E91" i="1"/>
  <c r="C173" i="1"/>
  <c r="G157" i="1"/>
  <c r="C197" i="1"/>
  <c r="G302" i="1"/>
  <c r="G250" i="1"/>
  <c r="G122" i="1"/>
  <c r="I107" i="1"/>
  <c r="C45" i="3"/>
  <c r="I28" i="1"/>
  <c r="C308" i="1"/>
  <c r="G216" i="1"/>
  <c r="C116" i="1"/>
  <c r="E182" i="1"/>
  <c r="E45" i="3"/>
  <c r="C234" i="1"/>
  <c r="C3" i="3"/>
  <c r="G67" i="1"/>
  <c r="C266" i="1"/>
  <c r="I46" i="1"/>
  <c r="G61" i="1"/>
  <c r="C6" i="3"/>
  <c r="I91" i="1"/>
  <c r="C139" i="1"/>
  <c r="C18" i="3"/>
  <c r="G79" i="1"/>
  <c r="G94" i="1"/>
  <c r="G58" i="1"/>
  <c r="E6" i="2"/>
  <c r="C247" i="1"/>
  <c r="C24" i="2"/>
  <c r="E36" i="2"/>
  <c r="C167" i="1"/>
  <c r="C36" i="2"/>
  <c r="I281" i="1"/>
  <c r="I16" i="1"/>
  <c r="G30" i="3"/>
  <c r="I231" i="1"/>
  <c r="I6" i="2"/>
  <c r="C176" i="1"/>
  <c r="I76" i="1"/>
  <c r="E209" i="1"/>
  <c r="G257" i="1"/>
  <c r="G39" i="2"/>
  <c r="I188" i="1"/>
  <c r="C64" i="1"/>
  <c r="I52" i="1"/>
  <c r="I182" i="1"/>
  <c r="I150" i="1"/>
  <c r="C48" i="3"/>
  <c r="G253" i="1"/>
  <c r="E241" i="1"/>
  <c r="G231" i="1"/>
  <c r="G18" i="2"/>
  <c r="C119" i="1"/>
  <c r="I36" i="3"/>
  <c r="I70" i="1"/>
  <c r="I228" i="1"/>
  <c r="C206" i="1"/>
  <c r="C146" i="1"/>
  <c r="I311" i="1"/>
  <c r="E305" i="1"/>
  <c r="C15" i="3"/>
  <c r="E296" i="1"/>
  <c r="C154" i="1"/>
  <c r="E42" i="2"/>
  <c r="I6" i="3"/>
  <c r="I213" i="1"/>
  <c r="G206" i="1"/>
  <c r="C182" i="1"/>
  <c r="C33" i="2"/>
  <c r="G27" i="3"/>
  <c r="G33" i="3"/>
  <c r="G179" i="1"/>
  <c r="I176" i="1"/>
  <c r="C311" i="1"/>
  <c r="G88" i="1"/>
  <c r="G182" i="1"/>
  <c r="I30" i="2"/>
  <c r="C104" i="1"/>
  <c r="G21" i="3"/>
  <c r="E6" i="3"/>
  <c r="I30" i="3"/>
  <c r="E67" i="1"/>
  <c r="C194" i="1"/>
  <c r="E143" i="1"/>
  <c r="E18" i="3"/>
  <c r="G24" i="3"/>
  <c r="C122" i="1"/>
  <c r="C94" i="1"/>
  <c r="G43" i="1"/>
  <c r="G317" i="1"/>
  <c r="I191" i="1"/>
  <c r="E116" i="1"/>
  <c r="I79" i="1"/>
  <c r="C9" i="3"/>
  <c r="G209" i="1"/>
  <c r="I36" i="2"/>
  <c r="I278" i="1"/>
  <c r="C61" i="1"/>
  <c r="C43" i="1"/>
  <c r="I51" i="3"/>
  <c r="G225" i="1"/>
  <c r="C79" i="1"/>
  <c r="I61" i="1"/>
  <c r="I209" i="1"/>
  <c r="I272" i="1"/>
  <c r="E13" i="1"/>
  <c r="G52" i="1"/>
  <c r="G42" i="2"/>
  <c r="E308" i="1"/>
  <c r="I320" i="1"/>
  <c r="I3" i="2"/>
  <c r="E237" i="1"/>
  <c r="I170" i="1"/>
  <c r="I275" i="1"/>
  <c r="G45" i="2"/>
  <c r="G22" i="1"/>
  <c r="E146" i="1"/>
  <c r="G119" i="1"/>
  <c r="C143" i="1"/>
  <c r="C228" i="1"/>
  <c r="G269" i="1"/>
  <c r="E107" i="1"/>
  <c r="I244" i="1"/>
  <c r="C19" i="1"/>
  <c r="C15" i="2"/>
  <c r="I19" i="1"/>
  <c r="I45" i="3"/>
  <c r="C200" i="1"/>
  <c r="C320" i="1"/>
  <c r="I179" i="1"/>
  <c r="I64" i="1"/>
  <c r="E45" i="2"/>
  <c r="E275" i="1"/>
  <c r="G39" i="3"/>
  <c r="E39" i="3"/>
  <c r="G161" i="1"/>
  <c r="E311" i="1"/>
  <c r="G36" i="3"/>
  <c r="I203" i="1"/>
  <c r="C9" i="1"/>
  <c r="G290" i="1"/>
  <c r="G45" i="3"/>
  <c r="E9" i="1"/>
  <c r="I113" i="1"/>
  <c r="C58" i="1"/>
  <c r="G85" i="1"/>
  <c r="I263" i="1"/>
  <c r="I12" i="2"/>
  <c r="I18" i="2"/>
  <c r="C45" i="2"/>
  <c r="E314" i="1"/>
  <c r="E24" i="3"/>
  <c r="I250" i="1"/>
  <c r="G278" i="1"/>
  <c r="C302" i="1"/>
  <c r="I25" i="1"/>
  <c r="I167" i="1"/>
  <c r="E16" i="1"/>
  <c r="C250" i="1"/>
  <c r="I18" i="3"/>
  <c r="I88" i="1"/>
  <c r="G314" i="1"/>
  <c r="I6" i="1"/>
  <c r="G107" i="1"/>
  <c r="C317" i="1"/>
  <c r="I317" i="1"/>
  <c r="I200" i="1"/>
  <c r="G167" i="1"/>
  <c r="I27" i="3"/>
  <c r="C293" i="1"/>
  <c r="C203" i="1"/>
  <c r="C13" i="1"/>
  <c r="C12" i="2"/>
  <c r="E27" i="3"/>
  <c r="E213" i="1"/>
  <c r="C30" i="3"/>
  <c r="E188" i="1"/>
  <c r="E176" i="1"/>
  <c r="E21" i="2"/>
  <c r="E64" i="1"/>
  <c r="C275" i="1"/>
  <c r="C296" i="1"/>
  <c r="E126" i="1"/>
  <c r="G30" i="2"/>
  <c r="I194" i="1"/>
  <c r="G24" i="2"/>
  <c r="C67" i="1"/>
  <c r="G219" i="1"/>
  <c r="E191" i="1"/>
  <c r="E113" i="1"/>
  <c r="C36" i="3"/>
  <c r="C3" i="1"/>
  <c r="C34" i="1"/>
  <c r="G281" i="1"/>
  <c r="E43" i="1"/>
  <c r="I45" i="2"/>
  <c r="E150" i="1"/>
  <c r="I290" i="1"/>
  <c r="E73" i="1"/>
  <c r="G154" i="1"/>
  <c r="G91" i="1"/>
  <c r="G16" i="1"/>
  <c r="E234" i="1"/>
  <c r="C260" i="1"/>
  <c r="I241" i="1"/>
  <c r="E94" i="1"/>
  <c r="I122" i="1"/>
  <c r="C269" i="1"/>
  <c r="G9" i="1"/>
  <c r="G146" i="1"/>
  <c r="I110" i="1"/>
  <c r="C37" i="1"/>
  <c r="E52" i="1"/>
  <c r="C222" i="1"/>
  <c r="G3" i="1"/>
  <c r="E3" i="3"/>
  <c r="I237" i="1"/>
  <c r="C85" i="1"/>
  <c r="C52" i="1"/>
  <c r="E25" i="1"/>
  <c r="G6" i="1"/>
  <c r="C126" i="1"/>
  <c r="E3" i="2"/>
  <c r="E18" i="2"/>
  <c r="G34" i="1"/>
  <c r="C225" i="1"/>
  <c r="E200" i="1"/>
  <c r="I146" i="1"/>
  <c r="G305" i="1"/>
  <c r="E154" i="1"/>
  <c r="G296" i="1"/>
  <c r="G36" i="2"/>
  <c r="C30" i="2"/>
  <c r="G104" i="1"/>
  <c r="E76" i="1"/>
  <c r="G110" i="1"/>
  <c r="G101" i="1"/>
  <c r="C97" i="1"/>
  <c r="G260" i="1"/>
  <c r="I296" i="1"/>
  <c r="I42" i="2"/>
  <c r="E228" i="1"/>
  <c r="I39" i="2"/>
  <c r="G234" i="1"/>
  <c r="C6" i="2"/>
  <c r="I225" i="1"/>
  <c r="G308" i="1"/>
  <c r="G113" i="1"/>
  <c r="G28" i="1"/>
  <c r="C82" i="1"/>
  <c r="I9" i="3"/>
  <c r="C28" i="1"/>
  <c r="I253" i="1"/>
  <c r="C21" i="3"/>
  <c r="I119" i="1"/>
  <c r="C164" i="1"/>
  <c r="I9" i="1"/>
  <c r="E27" i="2"/>
  <c r="C209" i="1"/>
  <c r="I39" i="3"/>
  <c r="C42" i="2"/>
  <c r="I154" i="1"/>
  <c r="C113" i="1"/>
  <c r="E269" i="1"/>
  <c r="C170" i="1"/>
  <c r="G247" i="1"/>
  <c r="E97" i="1"/>
  <c r="E287" i="1"/>
  <c r="E21" i="3"/>
  <c r="E139" i="1"/>
  <c r="I305" i="1"/>
  <c r="C110" i="1"/>
  <c r="G18" i="3"/>
  <c r="I299" i="1"/>
  <c r="I85" i="1"/>
  <c r="E179" i="1"/>
  <c r="C150" i="1"/>
  <c r="C219" i="1"/>
  <c r="C39" i="3"/>
  <c r="E55" i="1"/>
  <c r="G222" i="1"/>
  <c r="I287" i="1"/>
  <c r="I15" i="3"/>
  <c r="G13" i="1"/>
  <c r="E203" i="1"/>
  <c r="C263" i="1"/>
  <c r="C213" i="1"/>
  <c r="E12" i="2"/>
  <c r="G194" i="1"/>
  <c r="G49" i="1"/>
  <c r="C161" i="1"/>
  <c r="G82" i="1"/>
  <c r="I15" i="2"/>
  <c r="E15" i="3"/>
  <c r="C27" i="3"/>
  <c r="I48" i="3"/>
  <c r="I37" i="1"/>
  <c r="E317" i="1"/>
  <c r="E30" i="2"/>
  <c r="G116" i="1"/>
  <c r="C42" i="3"/>
  <c r="G275" i="1"/>
  <c r="E15" i="2"/>
  <c r="G191" i="1"/>
  <c r="E79" i="1"/>
  <c r="I73" i="1"/>
  <c r="C9" i="2"/>
  <c r="E278" i="1"/>
  <c r="I247" i="1"/>
  <c r="I126" i="1"/>
  <c r="E222" i="1"/>
  <c r="G200" i="1"/>
  <c r="I104" i="1"/>
  <c r="E49" i="1"/>
  <c r="I31" i="1"/>
  <c r="I94" i="1"/>
  <c r="C314" i="1"/>
  <c r="G188" i="1"/>
  <c r="I260" i="1"/>
  <c r="G15" i="2"/>
  <c r="I216" i="1"/>
  <c r="E272" i="1"/>
  <c r="G164" i="1"/>
  <c r="G272" i="1"/>
  <c r="C157" i="1"/>
  <c r="C46" i="1"/>
  <c r="E225" i="1"/>
  <c r="G21" i="2"/>
  <c r="I197" i="1"/>
  <c r="G46" i="1"/>
  <c r="C12" i="3"/>
  <c r="E194" i="1"/>
  <c r="G6" i="3"/>
  <c r="C49" i="1"/>
  <c r="E266" i="1"/>
  <c r="G97" i="1"/>
  <c r="C25" i="1"/>
  <c r="E22" i="1"/>
  <c r="C31" i="1"/>
  <c r="G176" i="1"/>
  <c r="E51" i="3"/>
  <c r="I302" i="1"/>
  <c r="I34" i="1"/>
  <c r="C70" i="1"/>
  <c r="C6" i="1"/>
  <c r="E12" i="3"/>
  <c r="E88" i="1"/>
  <c r="I27" i="2"/>
  <c r="G73" i="1"/>
  <c r="I67" i="1"/>
  <c r="G48" i="3"/>
  <c r="G70" i="1"/>
  <c r="E33" i="2"/>
  <c r="C257" i="1"/>
  <c r="C272" i="1"/>
  <c r="G241" i="1"/>
  <c r="C21" i="2"/>
  <c r="E101" i="1"/>
  <c r="I33" i="3"/>
  <c r="E3" i="1"/>
  <c r="E164" i="1"/>
  <c r="E253" i="1"/>
  <c r="E110" i="1"/>
  <c r="E219" i="1"/>
  <c r="E82" i="1"/>
  <c r="E30" i="3"/>
  <c r="C179" i="1"/>
  <c r="I101" i="1"/>
  <c r="G185" i="1"/>
  <c r="C191" i="1"/>
  <c r="E122" i="1"/>
  <c r="G6" i="2"/>
  <c r="G37" i="1"/>
  <c r="G31" i="1"/>
  <c r="E61" i="1"/>
  <c r="C281" i="1"/>
  <c r="I55" i="1"/>
  <c r="C216" i="1"/>
  <c r="G55" i="1"/>
  <c r="C287" i="1"/>
  <c r="G12" i="3"/>
  <c r="C305" i="1"/>
  <c r="C22" i="1"/>
  <c r="G263" i="1"/>
  <c r="G143" i="1"/>
  <c r="C185" i="1"/>
  <c r="G40" i="1"/>
  <c r="C51" i="3"/>
  <c r="E293" i="1"/>
  <c r="G12" i="2"/>
  <c r="G126" i="1"/>
  <c r="E257" i="1"/>
  <c r="E170" i="1"/>
  <c r="E19" i="1"/>
  <c r="C33" i="3"/>
  <c r="I139" i="1"/>
  <c r="E70" i="1"/>
  <c r="G284" i="1"/>
  <c r="I97" i="1"/>
  <c r="E157" i="1"/>
  <c r="C18" i="2"/>
  <c r="C3" i="2"/>
  <c r="C39" i="2"/>
  <c r="G15" i="3"/>
  <c r="I219" i="1"/>
  <c r="E185" i="1"/>
  <c r="G3" i="2"/>
  <c r="I9" i="2"/>
  <c r="G228" i="1"/>
  <c r="C24" i="3"/>
  <c r="G27" i="2"/>
  <c r="G266" i="1"/>
  <c r="C16" i="1"/>
  <c r="G311" i="1"/>
  <c r="E85" i="1"/>
  <c r="C91" i="1"/>
  <c r="G293" i="1"/>
  <c r="G9" i="2"/>
  <c r="E40" i="1"/>
  <c r="G237" i="1"/>
  <c r="I22" i="1"/>
  <c r="I82" i="1"/>
  <c r="E33" i="3"/>
  <c r="G150" i="1"/>
  <c r="I266" i="1"/>
  <c r="G25" i="1"/>
  <c r="E197" i="1"/>
  <c r="C278" i="1"/>
  <c r="G287" i="1"/>
  <c r="E31" i="1"/>
  <c r="I58" i="1"/>
  <c r="I222" i="1"/>
  <c r="I257" i="1"/>
  <c r="C244" i="1"/>
  <c r="E46" i="1"/>
  <c r="E250" i="1"/>
  <c r="I173" i="1"/>
  <c r="E104" i="1"/>
  <c r="E284" i="1"/>
  <c r="E24" i="2"/>
  <c r="E231" i="1"/>
  <c r="C55" i="1"/>
  <c r="B10" i="4"/>
  <c r="C57" i="3" l="1"/>
  <c r="C56" i="3"/>
  <c r="C58" i="3" s="1"/>
  <c r="I325" i="1"/>
  <c r="I324" i="1"/>
  <c r="I326" i="1" s="1"/>
  <c r="I50" i="2"/>
  <c r="I52" i="2" s="1"/>
  <c r="I51" i="2"/>
  <c r="G51" i="2"/>
  <c r="G50" i="2"/>
  <c r="G52" i="2" s="1"/>
  <c r="G325" i="1"/>
  <c r="G324" i="1"/>
  <c r="G326" i="1" s="1"/>
  <c r="G57" i="3"/>
  <c r="G56" i="3"/>
  <c r="G58" i="3" s="1"/>
  <c r="E325" i="1"/>
  <c r="E324" i="1"/>
  <c r="E326" i="1" s="1"/>
  <c r="C50" i="2"/>
  <c r="C51" i="2"/>
  <c r="E51" i="2"/>
  <c r="E50" i="2"/>
  <c r="E52" i="2" s="1"/>
  <c r="C324" i="1"/>
  <c r="C326" i="1" s="1"/>
  <c r="C325" i="1"/>
  <c r="E57" i="3"/>
  <c r="E56" i="3"/>
  <c r="E58" i="3" s="1"/>
  <c r="I57" i="3"/>
  <c r="I56" i="3"/>
  <c r="I58" i="3" s="1"/>
  <c r="C5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<sst xmlns="http://schemas.openxmlformats.org/spreadsheetml/2006/main" count="368" uniqueCount="293">
  <si>
    <t>Palavras</t>
  </si>
  <si>
    <t>Igualdade</t>
  </si>
  <si>
    <t>washington luiz</t>
  </si>
  <si>
    <t>washingtom luis</t>
  </si>
  <si>
    <t>Tathiane</t>
  </si>
  <si>
    <t>tatiane</t>
  </si>
  <si>
    <t>Sebastião</t>
  </si>
  <si>
    <t>sebasthião</t>
  </si>
  <si>
    <t>sebastiam</t>
  </si>
  <si>
    <t>Fellipe</t>
  </si>
  <si>
    <t>felipe</t>
  </si>
  <si>
    <t>Afonso Pena</t>
  </si>
  <si>
    <t>Haphonsso Pennha</t>
  </si>
  <si>
    <t>Queiroz Filho</t>
  </si>
  <si>
    <t>Queiros filo</t>
  </si>
  <si>
    <t>Suellen</t>
  </si>
  <si>
    <t>Suelem</t>
  </si>
  <si>
    <t>Abacaxi</t>
  </si>
  <si>
    <t>abhacachi</t>
  </si>
  <si>
    <t>xarope</t>
  </si>
  <si>
    <t>charope</t>
  </si>
  <si>
    <t>xicara</t>
  </si>
  <si>
    <t>chicarra</t>
  </si>
  <si>
    <t>chocolate</t>
  </si>
  <si>
    <t>xocolathe</t>
  </si>
  <si>
    <t>carroceria</t>
  </si>
  <si>
    <t>caroseria</t>
  </si>
  <si>
    <t>kombi</t>
  </si>
  <si>
    <t>combi</t>
  </si>
  <si>
    <t>acacia</t>
  </si>
  <si>
    <t>acasia</t>
  </si>
  <si>
    <t>isotopo</t>
  </si>
  <si>
    <t>issothopo</t>
  </si>
  <si>
    <t>assessoria</t>
  </si>
  <si>
    <t>acessoria</t>
  </si>
  <si>
    <t>caixinha</t>
  </si>
  <si>
    <t>caichinha</t>
  </si>
  <si>
    <t>cerebro</t>
  </si>
  <si>
    <t>celebro</t>
  </si>
  <si>
    <t>ascensorista</t>
  </si>
  <si>
    <t>assenssorista</t>
  </si>
  <si>
    <t>Acento</t>
  </si>
  <si>
    <t>Assento</t>
  </si>
  <si>
    <t>Acender</t>
  </si>
  <si>
    <t>Ascender</t>
  </si>
  <si>
    <t>Acessório</t>
  </si>
  <si>
    <t>Assessório</t>
  </si>
  <si>
    <t>Aço</t>
  </si>
  <si>
    <t>Asso</t>
  </si>
  <si>
    <t>Apreçar</t>
  </si>
  <si>
    <t>Apressar</t>
  </si>
  <si>
    <t>Arroxar</t>
  </si>
  <si>
    <t>Arrochar</t>
  </si>
  <si>
    <t>Censual</t>
  </si>
  <si>
    <t>Sensual</t>
  </si>
  <si>
    <t>coser</t>
  </si>
  <si>
    <t>cozer</t>
  </si>
  <si>
    <t>conserto</t>
  </si>
  <si>
    <t>concerto</t>
  </si>
  <si>
    <t>incipiente</t>
  </si>
  <si>
    <t>insipiente</t>
  </si>
  <si>
    <t>sensibilidade</t>
  </si>
  <si>
    <t>cencibilidade</t>
  </si>
  <si>
    <t>Intercessão</t>
  </si>
  <si>
    <t>Intersecção</t>
  </si>
  <si>
    <t>Interseção</t>
  </si>
  <si>
    <t>perspectiva</t>
  </si>
  <si>
    <t>perspetiva</t>
  </si>
  <si>
    <t>avião</t>
  </si>
  <si>
    <t>haviam</t>
  </si>
  <si>
    <t>tinham</t>
  </si>
  <si>
    <t>tinhão</t>
  </si>
  <si>
    <t>carro</t>
  </si>
  <si>
    <t>caro</t>
  </si>
  <si>
    <t>Christinna</t>
  </si>
  <si>
    <t>Cristina</t>
  </si>
  <si>
    <t>Caminham</t>
  </si>
  <si>
    <t>Caminhão</t>
  </si>
  <si>
    <t>Hipersensibilidade</t>
  </si>
  <si>
    <t>ipercencibilidade</t>
  </si>
  <si>
    <t>Arroz</t>
  </si>
  <si>
    <t>aros</t>
  </si>
  <si>
    <t>harros</t>
  </si>
  <si>
    <t>exceção</t>
  </si>
  <si>
    <t>ecesão</t>
  </si>
  <si>
    <t>eceção</t>
  </si>
  <si>
    <t>eseção</t>
  </si>
  <si>
    <t>esseção</t>
  </si>
  <si>
    <t>escesão</t>
  </si>
  <si>
    <t>excessão</t>
  </si>
  <si>
    <t>excesão</t>
  </si>
  <si>
    <t>exseção</t>
  </si>
  <si>
    <t>Marcos</t>
  </si>
  <si>
    <t>Marco</t>
  </si>
  <si>
    <t>Marcus</t>
  </si>
  <si>
    <t>Marquete</t>
  </si>
  <si>
    <t>Marqueti</t>
  </si>
  <si>
    <t>José</t>
  </si>
  <si>
    <t>Josi</t>
  </si>
  <si>
    <t>Jhosse</t>
  </si>
  <si>
    <t>Josefa</t>
  </si>
  <si>
    <t>Josepha</t>
  </si>
  <si>
    <t>Jhoseffa</t>
  </si>
  <si>
    <t>ANTONIO SILVINHO SUANNES</t>
  </si>
  <si>
    <t>antonnio silvino zuanez</t>
  </si>
  <si>
    <t>AMERICO WERNECK</t>
  </si>
  <si>
    <t>AMERICO VERNEC</t>
  </si>
  <si>
    <t>BELCHIOR PIRES</t>
  </si>
  <si>
    <t>BELQUIOR PIRES</t>
  </si>
  <si>
    <t>GOLAR</t>
  </si>
  <si>
    <t>GOULART</t>
  </si>
  <si>
    <t>Matheus</t>
  </si>
  <si>
    <t>Mateus</t>
  </si>
  <si>
    <t>Abel</t>
  </si>
  <si>
    <t>Abeu</t>
  </si>
  <si>
    <t>Access</t>
  </si>
  <si>
    <t>aces</t>
  </si>
  <si>
    <t>Excel</t>
  </si>
  <si>
    <t>Eccel</t>
  </si>
  <si>
    <t>Exel</t>
  </si>
  <si>
    <t>Hipopotamo</t>
  </si>
  <si>
    <t>ipopotamo</t>
  </si>
  <si>
    <t>helice</t>
  </si>
  <si>
    <t>elise</t>
  </si>
  <si>
    <t>Hibrido</t>
  </si>
  <si>
    <t>ibido</t>
  </si>
  <si>
    <t>Papel</t>
  </si>
  <si>
    <t>papeu</t>
  </si>
  <si>
    <t>Jornal</t>
  </si>
  <si>
    <t>Jornau</t>
  </si>
  <si>
    <t>Canil</t>
  </si>
  <si>
    <t>caniu</t>
  </si>
  <si>
    <t>Paiol</t>
  </si>
  <si>
    <t>Paiou</t>
  </si>
  <si>
    <t>Mel</t>
  </si>
  <si>
    <t>meu</t>
  </si>
  <si>
    <t>Mal</t>
  </si>
  <si>
    <t>mau</t>
  </si>
  <si>
    <t>Carrasco</t>
  </si>
  <si>
    <t>carascu</t>
  </si>
  <si>
    <t>Walter</t>
  </si>
  <si>
    <t>valter</t>
  </si>
  <si>
    <t>Arthur</t>
  </si>
  <si>
    <t>Artur</t>
  </si>
  <si>
    <t>David</t>
  </si>
  <si>
    <t>Davi</t>
  </si>
  <si>
    <t>Maria</t>
  </si>
  <si>
    <t>Mariah</t>
  </si>
  <si>
    <t>viagem</t>
  </si>
  <si>
    <t>Gelo</t>
  </si>
  <si>
    <t>jelo</t>
  </si>
  <si>
    <t>Viado</t>
  </si>
  <si>
    <t>veado</t>
  </si>
  <si>
    <t>Viajem</t>
  </si>
  <si>
    <t>ewerthon</t>
  </si>
  <si>
    <t>evertom</t>
  </si>
  <si>
    <t>Velasquez</t>
  </si>
  <si>
    <t>Velasques</t>
  </si>
  <si>
    <t>ROJERRIO RODRRIGES    LIMA</t>
  </si>
  <si>
    <t>ROGERIO RODRIGUES LYNMA</t>
  </si>
  <si>
    <t>Iguais</t>
  </si>
  <si>
    <t>RAQUEL</t>
  </si>
  <si>
    <t>RACHEL</t>
  </si>
  <si>
    <t>ADDDRIIANO</t>
  </si>
  <si>
    <t>ADRIIANO</t>
  </si>
  <si>
    <t>ADRIANO</t>
  </si>
  <si>
    <t>CALÇADO</t>
  </si>
  <si>
    <t>CALSSADO</t>
  </si>
  <si>
    <t>XICARA</t>
  </si>
  <si>
    <t>CHICARRA</t>
  </si>
  <si>
    <t>SUMIÇO</t>
  </si>
  <si>
    <t>CHUMISSO</t>
  </si>
  <si>
    <t>TIGELA</t>
  </si>
  <si>
    <t>THYJELLA</t>
  </si>
  <si>
    <t>Presenteie</t>
  </si>
  <si>
    <t>Preseteie</t>
  </si>
  <si>
    <t>chupeta</t>
  </si>
  <si>
    <t>xupeta</t>
  </si>
  <si>
    <t>BuscaFoneticaBR</t>
  </si>
  <si>
    <t>FonemaPT</t>
  </si>
  <si>
    <t>city tour</t>
  </si>
  <si>
    <t>siti tur</t>
  </si>
  <si>
    <t>foram três caixas cheias de charutos</t>
  </si>
  <si>
    <t>forão tres caichas xeias de xarruthos</t>
  </si>
  <si>
    <t>Destituição</t>
  </si>
  <si>
    <t>detituisão</t>
  </si>
  <si>
    <t>O caminhão despencou do penhasco</t>
  </si>
  <si>
    <t>O caminao dispencou do penasco</t>
  </si>
  <si>
    <t>inconstitucionalissimamente</t>
  </si>
  <si>
    <t>icontitusionalicimamete</t>
  </si>
  <si>
    <t>total</t>
  </si>
  <si>
    <t>% sucesso</t>
  </si>
  <si>
    <t>Arthur Braga</t>
  </si>
  <si>
    <t>Atur Baga</t>
  </si>
  <si>
    <t>RESULTADOS</t>
  </si>
  <si>
    <t>RSoundex</t>
  </si>
  <si>
    <t>BuscaBR</t>
  </si>
  <si>
    <t>Raquel Freitas Coradini de Moraes</t>
  </si>
  <si>
    <t>Bexiga</t>
  </si>
  <si>
    <t>Bichiga</t>
  </si>
  <si>
    <t>Minha avó tinha um cachorro poodle</t>
  </si>
  <si>
    <t>assiduo</t>
  </si>
  <si>
    <t>acido</t>
  </si>
  <si>
    <t>caminhão carreta</t>
  </si>
  <si>
    <t>caminham careta</t>
  </si>
  <si>
    <t>basculante</t>
  </si>
  <si>
    <t>baculate</t>
  </si>
  <si>
    <t>achei uma chave</t>
  </si>
  <si>
    <t>axei uma xavi</t>
  </si>
  <si>
    <t xml:space="preserve">Aliança </t>
  </si>
  <si>
    <t>aliansa</t>
  </si>
  <si>
    <t>Jhonathan</t>
  </si>
  <si>
    <t>jonatan</t>
  </si>
  <si>
    <t>Raqueu        Feithas Coradinni Morais</t>
  </si>
  <si>
    <t>Pesentei</t>
  </si>
  <si>
    <t>mina avo tina um caxoro pude</t>
  </si>
  <si>
    <t>Sylvia Christina de Andrade Grimm</t>
  </si>
  <si>
    <t>Silvia Cristina Andade grim</t>
  </si>
  <si>
    <t>Dafne</t>
  </si>
  <si>
    <t>dafine</t>
  </si>
  <si>
    <t>assintomatico</t>
  </si>
  <si>
    <t>acintomatico</t>
  </si>
  <si>
    <t>Hiroshi</t>
  </si>
  <si>
    <t>iroxi</t>
  </si>
  <si>
    <t>Takashi</t>
  </si>
  <si>
    <t>tacaxi</t>
  </si>
  <si>
    <t>Akira</t>
  </si>
  <si>
    <t>aquira</t>
  </si>
  <si>
    <t>Hideki</t>
  </si>
  <si>
    <t>Ridequi</t>
  </si>
  <si>
    <t>Yumi</t>
  </si>
  <si>
    <t>iumi</t>
  </si>
  <si>
    <t>Sasuke</t>
  </si>
  <si>
    <t>sassuque</t>
  </si>
  <si>
    <t>Sakura</t>
  </si>
  <si>
    <t>sacura</t>
  </si>
  <si>
    <t>Kazumi</t>
  </si>
  <si>
    <t>casumi</t>
  </si>
  <si>
    <t>Yoshiaki</t>
  </si>
  <si>
    <t>iochiaqui</t>
  </si>
  <si>
    <t>Ichiro</t>
  </si>
  <si>
    <t>ixirro</t>
  </si>
  <si>
    <t>Miyako</t>
  </si>
  <si>
    <t>miiaco</t>
  </si>
  <si>
    <t>Tatsuo</t>
  </si>
  <si>
    <t>tatisuo</t>
  </si>
  <si>
    <t>Kenichi</t>
  </si>
  <si>
    <t>QUENIXE</t>
  </si>
  <si>
    <t>Fuyuki</t>
  </si>
  <si>
    <t>FUIUQUI</t>
  </si>
  <si>
    <t>Leny Kimie Yamashiro Oshiro</t>
  </si>
  <si>
    <t>leni quimie yamaxirro oxiro</t>
  </si>
  <si>
    <t>opção</t>
  </si>
  <si>
    <t>opissão</t>
  </si>
  <si>
    <t>AMERICO VERNEQUE</t>
  </si>
  <si>
    <t>lapso</t>
  </si>
  <si>
    <t>lapiso</t>
  </si>
  <si>
    <t>pneu</t>
  </si>
  <si>
    <t>peneu</t>
  </si>
  <si>
    <t>advogado</t>
  </si>
  <si>
    <t>adevogado</t>
  </si>
  <si>
    <t>inapto</t>
  </si>
  <si>
    <t>inapitu</t>
  </si>
  <si>
    <t>eucalipto</t>
  </si>
  <si>
    <t>elcalipitu</t>
  </si>
  <si>
    <t>almoço</t>
  </si>
  <si>
    <t>aumosso</t>
  </si>
  <si>
    <t>cultura</t>
  </si>
  <si>
    <t>cutura</t>
  </si>
  <si>
    <t>abdul</t>
  </si>
  <si>
    <t>abdu</t>
  </si>
  <si>
    <t>estambul</t>
  </si>
  <si>
    <t>istambu</t>
  </si>
  <si>
    <t>gnomo</t>
  </si>
  <si>
    <t>guinomo</t>
  </si>
  <si>
    <t>actor</t>
  </si>
  <si>
    <t>ator</t>
  </si>
  <si>
    <t>selecção</t>
  </si>
  <si>
    <t>selessão</t>
  </si>
  <si>
    <t>piscina</t>
  </si>
  <si>
    <t>pisina</t>
  </si>
  <si>
    <t>crescimento</t>
  </si>
  <si>
    <t>cresimento</t>
  </si>
  <si>
    <t>contactar</t>
  </si>
  <si>
    <t>contatar</t>
  </si>
  <si>
    <t>Digite uma palavra ou frase corretamente:</t>
  </si>
  <si>
    <t>Digite uma palavra ou frase com erros de grafia:</t>
  </si>
  <si>
    <t>CONVERSÃO PARA BUSCAFONETICABR:</t>
  </si>
  <si>
    <t>hifem</t>
  </si>
  <si>
    <t>hifen</t>
  </si>
  <si>
    <t>encantador</t>
  </si>
  <si>
    <t>emcamtador</t>
  </si>
  <si>
    <t>Silvia Cristina Andade Grim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</si>
</sst>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1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FA7D00"/>
      <name val="Calibri"/>
      <family val="2"/>
      <scheme val="minor"/>
    </font>
    <font>
      <b/>
      <sz val="7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8" fillId="5" borderId="14" applyNumberFormat="0" applyAlignment="0" applyProtection="0"/>
  </cellStyleXfs>
  <cellXfs count="59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4" xfId="0" applyBorder="1"/>
    <xf numFmtId="0" fontId="6" fillId="0" borderId="0" xfId="0" applyFont="1"/>
    <xf numFmtId="0" fontId="5" fillId="2" borderId="6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Alignment="1">
      <alignment horizontal="left"/>
    </xf>
    <xf numFmtId="0" fontId="5" fillId="2" borderId="5" xfId="0" applyFont="1" applyFill="1" applyBorder="1" applyAlignment="1">
      <alignment horizontal="left"/>
    </xf>
    <xf numFmtId="0" fontId="5" fillId="2" borderId="7" xfId="0" applyFont="1" applyFill="1" applyBorder="1" applyAlignment="1">
      <alignment horizontal="left"/>
    </xf>
    <xf numFmtId="0" fontId="5" fillId="2" borderId="9" xfId="0" applyFont="1" applyFill="1" applyBorder="1" applyAlignment="1">
      <alignment horizontal="left"/>
    </xf>
    <xf numFmtId="164" fontId="7" fillId="4" borderId="10" xfId="1" applyNumberFormat="1" applyFont="1" applyFill="1" applyBorder="1" applyAlignment="1">
      <alignment horizontal="center"/>
    </xf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2" fillId="2" borderId="18" xfId="0" applyFont="1" applyFill="1" applyBorder="1"/>
    <xf numFmtId="0" fontId="2" fillId="2" borderId="19" xfId="0" applyFont="1" applyFill="1" applyBorder="1"/>
    <xf numFmtId="0" fontId="9" fillId="2" borderId="0" xfId="0" applyFont="1" applyFill="1"/>
    <xf numFmtId="0" fontId="0" fillId="2" borderId="0" xfId="0" applyFill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11" fillId="8" borderId="15" xfId="0" applyFont="1" applyFill="1" applyBorder="1" applyAlignment="1">
      <alignment horizontal="center" vertical="center" shrinkToFit="1"/>
    </xf>
    <xf numFmtId="0" fontId="11" fillId="8" borderId="16" xfId="0" applyFont="1" applyFill="1" applyBorder="1" applyAlignment="1">
      <alignment horizontal="center" vertical="center" shrinkToFit="1"/>
    </xf>
    <xf numFmtId="0" fontId="11" fillId="8" borderId="17" xfId="0" applyFont="1" applyFill="1" applyBorder="1" applyAlignment="1">
      <alignment horizontal="center" vertical="center" shrinkToFit="1"/>
    </xf>
    <xf numFmtId="0" fontId="11" fillId="8" borderId="18" xfId="0" applyFont="1" applyFill="1" applyBorder="1" applyAlignment="1">
      <alignment horizontal="center" vertical="center" shrinkToFit="1"/>
    </xf>
    <xf numFmtId="0" fontId="11" fillId="8" borderId="0" xfId="0" applyFont="1" applyFill="1" applyAlignment="1">
      <alignment horizontal="center" vertical="center" shrinkToFit="1"/>
    </xf>
    <xf numFmtId="0" fontId="11" fillId="8" borderId="19" xfId="0" applyFont="1" applyFill="1" applyBorder="1" applyAlignment="1">
      <alignment horizontal="center" vertical="center" shrinkToFit="1"/>
    </xf>
    <xf numFmtId="0" fontId="11" fillId="8" borderId="20" xfId="0" applyFont="1" applyFill="1" applyBorder="1" applyAlignment="1">
      <alignment horizontal="center" vertical="center" shrinkToFit="1"/>
    </xf>
    <xf numFmtId="0" fontId="11" fillId="8" borderId="21" xfId="0" applyFont="1" applyFill="1" applyBorder="1" applyAlignment="1">
      <alignment horizontal="center" vertical="center" shrinkToFit="1"/>
    </xf>
    <xf numFmtId="0" fontId="11" fillId="8" borderId="22" xfId="0" applyFont="1" applyFill="1" applyBorder="1" applyAlignment="1">
      <alignment horizontal="center" vertical="center" shrinkToFit="1"/>
    </xf>
    <xf numFmtId="0" fontId="5" fillId="6" borderId="5" xfId="0" applyFont="1" applyFill="1" applyBorder="1" applyAlignment="1">
      <alignment horizontal="left" indent="1"/>
    </xf>
    <xf numFmtId="0" fontId="5" fillId="6" borderId="23" xfId="0" applyFont="1" applyFill="1" applyBorder="1" applyAlignment="1">
      <alignment horizontal="left" indent="1"/>
    </xf>
    <xf numFmtId="0" fontId="5" fillId="6" borderId="6" xfId="0" applyFont="1" applyFill="1" applyBorder="1" applyAlignment="1">
      <alignment horizontal="left" indent="1"/>
    </xf>
    <xf numFmtId="0" fontId="2" fillId="7" borderId="9" xfId="0" applyFont="1" applyFill="1" applyBorder="1" applyAlignment="1" applyProtection="1">
      <alignment horizontal="left" vertical="top" wrapText="1" indent="1" shrinkToFit="1"/>
      <protection locked="0"/>
    </xf>
    <xf numFmtId="0" fontId="2" fillId="7" borderId="24" xfId="0" applyFont="1" applyFill="1" applyBorder="1" applyAlignment="1" applyProtection="1">
      <alignment horizontal="left" vertical="top" indent="1" shrinkToFit="1"/>
      <protection locked="0"/>
    </xf>
    <xf numFmtId="0" fontId="2" fillId="7" borderId="10" xfId="0" applyFont="1" applyFill="1" applyBorder="1" applyAlignment="1" applyProtection="1">
      <alignment horizontal="left" vertical="top" indent="1" shrinkToFit="1"/>
      <protection locked="0"/>
    </xf>
    <xf numFmtId="0" fontId="5" fillId="6" borderId="5" xfId="0" applyFont="1" applyFill="1" applyBorder="1" applyAlignment="1">
      <alignment horizontal="center"/>
    </xf>
    <xf numFmtId="0" fontId="5" fillId="6" borderId="23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  <xf numFmtId="0" fontId="10" fillId="5" borderId="25" xfId="2" applyFont="1" applyBorder="1" applyAlignment="1" applyProtection="1">
      <alignment horizontal="left" vertical="top" indent="1" shrinkToFit="1"/>
    </xf>
    <xf numFmtId="0" fontId="10" fillId="5" borderId="26" xfId="2" applyFont="1" applyBorder="1" applyAlignment="1" applyProtection="1">
      <alignment horizontal="left" vertical="top" indent="1" shrinkToFit="1"/>
    </xf>
    <xf numFmtId="0" fontId="10" fillId="5" borderId="27" xfId="2" applyFont="1" applyBorder="1" applyAlignment="1" applyProtection="1">
      <alignment horizontal="left" vertical="top" indent="1" shrinkToFit="1"/>
    </xf>
    <xf numFmtId="0" fontId="3" fillId="0" borderId="0" xfId="0" applyFont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</cellXfs>
  <cellStyles count="3">
    <cellStyle name="Cálculo" xfId="2" builtinId="22"/>
    <cellStyle name="Normal" xfId="0" builtinId="0"/>
    <cellStyle name="Porcentagem" xfId="1" builtinId="5"/>
  </cellStyles>
  <dxfs count="46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61"/>
      <tableStyleElement type="headerRow" dxfId="46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dicionariodenomesproprios.com.br/fuyuki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dicionariodenomesproprios.com.br/fuyuki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Q16"/>
  <sheetViews>
    <sheetView showGridLines="0" showRowColHeaders="0" tabSelected="1" zoomScale="140" zoomScaleNormal="140" workbookViewId="0">
      <selection activeCell="C7" sqref="C7:T7"/>
    </sheetView>
  </sheetViews>
  <sheetFormatPr defaultColWidth="0" defaultRowHeight="15" zeroHeight="1" x14ac:dyDescent="0.25"/>
  <cols>
    <col min="1" max="43" width="3.42578125" customWidth="1"/>
    <col min="44" max="16384" width="3.42578125" hidden="1"/>
  </cols>
  <sheetData>
    <row r="1" spans="2:42" ht="15.75" thickBot="1" x14ac:dyDescent="0.3"/>
    <row r="2" spans="2:42" ht="15.75" thickBot="1" x14ac:dyDescent="0.3">
      <c r="B2" s="20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2"/>
      <c r="W2" s="20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2"/>
    </row>
    <row r="3" spans="2:42" ht="21" x14ac:dyDescent="0.35">
      <c r="B3" s="23"/>
      <c r="C3" s="41" t="s">
        <v>285</v>
      </c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3"/>
      <c r="U3" s="24"/>
      <c r="W3" s="23"/>
      <c r="X3" s="47" t="s">
        <v>287</v>
      </c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9"/>
      <c r="AP3" s="24"/>
    </row>
    <row r="4" spans="2:42" s="4" customFormat="1" ht="45" customHeight="1" thickBot="1" x14ac:dyDescent="0.35">
      <c r="B4" s="25"/>
      <c r="C4" s="44" t="s">
        <v>216</v>
      </c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6"/>
      <c r="U4" s="26"/>
      <c r="W4" s="25"/>
      <c r="X4" s="50" t="str" cm="1">
        <f t="array" ref="X4">BuscaFoneticaBR(C4)</f>
        <v>SEOVEA SETEMA ADADE JE</v>
      </c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2"/>
      <c r="AP4" s="26"/>
    </row>
    <row r="5" spans="2:42" ht="15.75" thickBot="1" x14ac:dyDescent="0.3">
      <c r="B5" s="23"/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4"/>
      <c r="W5" s="23"/>
      <c r="X5" s="27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4"/>
    </row>
    <row r="6" spans="2:42" ht="21" x14ac:dyDescent="0.35">
      <c r="B6" s="23"/>
      <c r="C6" s="41" t="s">
        <v>286</v>
      </c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3"/>
      <c r="U6" s="24"/>
      <c r="W6" s="23"/>
      <c r="X6" s="47" t="s">
        <v>287</v>
      </c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9"/>
      <c r="AP6" s="24"/>
    </row>
    <row r="7" spans="2:42" s="4" customFormat="1" ht="45" customHeight="1" thickBot="1" x14ac:dyDescent="0.35">
      <c r="B7" s="25"/>
      <c r="C7" s="44" t="s">
        <v>292</v>
      </c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6"/>
      <c r="U7" s="26"/>
      <c r="W7" s="25"/>
      <c r="X7" s="50" t="str" cm="1">
        <f t="array" ref="X7">BuscaFoneticaBR(C7)</f>
        <v>SEOVEA SETEMA ADADE JE</v>
      </c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2"/>
      <c r="AP7" s="26"/>
    </row>
    <row r="8" spans="2:42" ht="15.75" thickBot="1" x14ac:dyDescent="0.3">
      <c r="B8" s="29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1"/>
      <c r="W8" s="29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1"/>
    </row>
    <row r="9" spans="2:42" ht="15.75" thickBot="1" x14ac:dyDescent="0.3"/>
    <row r="10" spans="2:42" x14ac:dyDescent="0.25">
      <c r="B10" s="32" t="str">
        <f>"% de similaridade: "  &amp; TEXT(CalcSimilar(X4,X7),"##0,0%")</f>
        <v>% de similaridade: 100,0%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4"/>
    </row>
    <row r="11" spans="2:42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7"/>
    </row>
    <row r="12" spans="2:42" x14ac:dyDescent="0.25"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7"/>
    </row>
    <row r="13" spans="2:42" x14ac:dyDescent="0.25"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7"/>
    </row>
    <row r="14" spans="2:42" x14ac:dyDescent="0.25">
      <c r="B14" s="35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7"/>
    </row>
    <row r="15" spans="2:42" ht="15.75" thickBot="1" x14ac:dyDescent="0.3"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40"/>
    </row>
    <row r="16" spans="2:42" x14ac:dyDescent="0.25"/>
  </sheetData>
  <sheetProtection selectLockedCells="1"/>
  <mergeCells count="9">
    <mergeCell ref="B10:AP15"/>
    <mergeCell ref="C3:T3"/>
    <mergeCell ref="C6:T6"/>
    <mergeCell ref="C4:T4"/>
    <mergeCell ref="C7:T7"/>
    <mergeCell ref="X3:AO3"/>
    <mergeCell ref="X4:AO4"/>
    <mergeCell ref="X6:AO6"/>
    <mergeCell ref="X7:AO7"/>
  </mergeCells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I326"/>
  <sheetViews>
    <sheetView zoomScale="80" zoomScaleNormal="80" workbookViewId="0">
      <pane ySplit="1" topLeftCell="A320" activePane="bottomLeft" state="frozen"/>
      <selection activeCell="B55" sqref="B55"/>
      <selection pane="bottomLeft" activeCell="C326" sqref="C326"/>
    </sheetView>
  </sheetViews>
  <sheetFormatPr defaultRowHeight="15" x14ac:dyDescent="0.25"/>
  <cols>
    <col min="1" max="1" width="40.28515625" customWidth="1"/>
    <col min="2" max="2" width="39.42578125" bestFit="1" customWidth="1"/>
    <col min="3" max="3" width="16" bestFit="1" customWidth="1"/>
    <col min="4" max="4" width="34.7109375" style="14" customWidth="1"/>
    <col min="5" max="5" width="16" customWidth="1"/>
    <col min="6" max="6" width="35.140625" customWidth="1"/>
    <col min="7" max="7" width="15.85546875" customWidth="1"/>
    <col min="8" max="8" width="34.85546875" customWidth="1"/>
    <col min="9" max="9" width="16.28515625" customWidth="1"/>
  </cols>
  <sheetData>
    <row r="1" spans="1:9" ht="19.5" thickBot="1" x14ac:dyDescent="0.3">
      <c r="A1" s="1" t="s">
        <v>0</v>
      </c>
      <c r="B1" s="2" t="s">
        <v>178</v>
      </c>
      <c r="C1" s="3" t="s">
        <v>1</v>
      </c>
      <c r="D1" s="2" t="s">
        <v>196</v>
      </c>
      <c r="E1" s="2" t="s">
        <v>1</v>
      </c>
      <c r="F1" s="2" t="s">
        <v>195</v>
      </c>
      <c r="G1" s="3" t="s">
        <v>1</v>
      </c>
      <c r="H1" s="2" t="s">
        <v>179</v>
      </c>
      <c r="I1" s="3" t="s">
        <v>1</v>
      </c>
    </row>
    <row r="2" spans="1:9" ht="18.75" x14ac:dyDescent="0.3">
      <c r="A2" s="4"/>
      <c r="B2" s="4"/>
      <c r="C2" s="4"/>
    </row>
    <row r="3" spans="1:9" ht="18.75" customHeight="1" x14ac:dyDescent="0.3">
      <c r="A3" s="4" t="s">
        <v>2</v>
      </c>
      <c r="B3" s="8" t="str">
        <f>BuscaFoneticaBR(A3)</f>
        <v>VASEJETO ROE</v>
      </c>
      <c r="C3" s="53" t="str">
        <f>IF(B3=B4,"Iguais","Diferentes")</f>
        <v>Iguais</v>
      </c>
      <c r="D3" s="15" t="str">
        <f>FonemaPT(A3,1)</f>
        <v>VSGT L</v>
      </c>
      <c r="E3" s="53" t="str">
        <f>IF(D3=D4,"Iguais","Diferentes")</f>
        <v>Iguais</v>
      </c>
      <c r="F3" s="8" t="str">
        <f>RSOUNDEX(A3)</f>
        <v>W252</v>
      </c>
      <c r="G3" s="53" t="str">
        <f>IF(F3=F4,"Iguais","Diferentes")</f>
        <v>Iguais</v>
      </c>
      <c r="H3" s="8" t="str">
        <f>FonemaPT(A3)</f>
        <v>VASHIGTO LUI</v>
      </c>
      <c r="I3" s="53" t="str">
        <f>IF(H3=H4,"Iguais","Diferentes")</f>
        <v>Iguais</v>
      </c>
    </row>
    <row r="4" spans="1:9" ht="18.75" customHeight="1" x14ac:dyDescent="0.3">
      <c r="A4" s="4" t="s">
        <v>3</v>
      </c>
      <c r="B4" s="8" t="str">
        <f>BuscaFoneticaBR(A4)</f>
        <v>VASEJETO ROE</v>
      </c>
      <c r="C4" s="53"/>
      <c r="D4" s="15" t="str">
        <f>FonemaPT(A4,1)</f>
        <v>VSGT L</v>
      </c>
      <c r="E4" s="53"/>
      <c r="F4" s="8" t="str">
        <f>RSOUNDEX(A4)</f>
        <v>W252</v>
      </c>
      <c r="G4" s="53"/>
      <c r="H4" s="8" t="str">
        <f>FonemaPT(A4)</f>
        <v>VASHIGTO LUI</v>
      </c>
      <c r="I4" s="53"/>
    </row>
    <row r="5" spans="1:9" ht="18.75" x14ac:dyDescent="0.3">
      <c r="A5" s="4"/>
      <c r="B5" s="8"/>
      <c r="C5" s="4"/>
      <c r="D5" s="15"/>
      <c r="F5" s="8"/>
      <c r="H5" s="8"/>
    </row>
    <row r="6" spans="1:9" ht="18.75" customHeight="1" x14ac:dyDescent="0.3">
      <c r="A6" s="4" t="s">
        <v>4</v>
      </c>
      <c r="B6" s="8" t="str">
        <f>BuscaFoneticaBR(A6)</f>
        <v>TATEAME</v>
      </c>
      <c r="C6" s="53" t="str">
        <f>IF(B6=B7,"Iguais","Diferentes")</f>
        <v>Iguais</v>
      </c>
      <c r="D6" s="15" t="str">
        <f>FonemaPT(A6,1)</f>
        <v>TM</v>
      </c>
      <c r="E6" s="53" t="str">
        <f>IF(D6=D7,"Iguais","Diferentes")</f>
        <v>Iguais</v>
      </c>
      <c r="F6" s="8" t="str">
        <f>RSOUNDEX(A6)</f>
        <v>T35</v>
      </c>
      <c r="G6" s="53" t="str">
        <f>IF(F6=F7,"Iguais","Diferentes")</f>
        <v>Iguais</v>
      </c>
      <c r="H6" s="8" t="str">
        <f>FonemaPT(A6)</f>
        <v>TATHIAME</v>
      </c>
      <c r="I6" s="53" t="str">
        <f>IF(H6=H7,"Iguais","Diferentes")</f>
        <v>Diferentes</v>
      </c>
    </row>
    <row r="7" spans="1:9" ht="18.75" customHeight="1" x14ac:dyDescent="0.3">
      <c r="A7" s="4" t="s">
        <v>5</v>
      </c>
      <c r="B7" s="8" t="str">
        <f>BuscaFoneticaBR(A7)</f>
        <v>TATEAME</v>
      </c>
      <c r="C7" s="53"/>
      <c r="D7" s="15" t="str">
        <f>FonemaPT(A7,1)</f>
        <v>TM</v>
      </c>
      <c r="E7" s="53"/>
      <c r="F7" s="8" t="str">
        <f>RSOUNDEX(A7)</f>
        <v>T35</v>
      </c>
      <c r="G7" s="53"/>
      <c r="H7" s="8" t="str">
        <f>FonemaPT(A7)</f>
        <v>TATIAME</v>
      </c>
      <c r="I7" s="53"/>
    </row>
    <row r="8" spans="1:9" ht="18.75" x14ac:dyDescent="0.3">
      <c r="A8" s="4"/>
      <c r="B8" s="8"/>
      <c r="C8" s="4"/>
      <c r="D8" s="15"/>
      <c r="F8" s="8"/>
      <c r="H8" s="8"/>
    </row>
    <row r="9" spans="1:9" ht="18.75" customHeight="1" x14ac:dyDescent="0.3">
      <c r="A9" s="4" t="s">
        <v>6</v>
      </c>
      <c r="B9" s="8" t="str">
        <f>BuscaFoneticaBR(A9)</f>
        <v>SEBATEA</v>
      </c>
      <c r="C9" s="53" t="str">
        <f>IF(AND(B9=B10,B9=B11,B10=B11),"Iguais","Diferentes")</f>
        <v>Iguais</v>
      </c>
      <c r="D9" s="15" t="str">
        <f>FonemaPT(A9,1)</f>
        <v>SBT</v>
      </c>
      <c r="E9" s="53" t="str">
        <f>IF(AND(D9=D10,D9=D11,D10=D11),"Iguais","Diferentes")</f>
        <v>Iguais</v>
      </c>
      <c r="F9" s="8" t="str">
        <f>RSOUNDEX(A9)</f>
        <v>S123</v>
      </c>
      <c r="G9" s="53" t="str">
        <f>IF(AND(F9=F10,F9=F11,F10=F11),"Iguais","Diferentes")</f>
        <v>Iguais</v>
      </c>
      <c r="H9" s="8" t="str">
        <f>FonemaPT(A9)</f>
        <v>SEBATI</v>
      </c>
      <c r="I9" s="53" t="str">
        <f>IF(AND(H9=H10,H9=H11,H10=H11),"Iguais","Diferentes")</f>
        <v>Diferentes</v>
      </c>
    </row>
    <row r="10" spans="1:9" ht="18.75" customHeight="1" x14ac:dyDescent="0.3">
      <c r="A10" s="4" t="s">
        <v>7</v>
      </c>
      <c r="B10" s="8" t="str">
        <f>BuscaFoneticaBR(A10)</f>
        <v>SEBATEA</v>
      </c>
      <c r="C10" s="53"/>
      <c r="D10" s="15" t="str">
        <f>FonemaPT(A10,1)</f>
        <v>SBT</v>
      </c>
      <c r="E10" s="53"/>
      <c r="F10" s="8" t="str">
        <f>RSOUNDEX(A10)</f>
        <v>S123</v>
      </c>
      <c r="G10" s="53"/>
      <c r="H10" s="8" t="str">
        <f>FonemaPT(A10)</f>
        <v>SEBATHI</v>
      </c>
      <c r="I10" s="53"/>
    </row>
    <row r="11" spans="1:9" ht="18.75" customHeight="1" x14ac:dyDescent="0.3">
      <c r="A11" s="4" t="s">
        <v>8</v>
      </c>
      <c r="B11" s="8" t="str">
        <f>BuscaFoneticaBR(A11)</f>
        <v>SEBATEA</v>
      </c>
      <c r="C11" s="53"/>
      <c r="D11" s="15" t="str">
        <f>FonemaPT(A11,1)</f>
        <v>SBT</v>
      </c>
      <c r="E11" s="53"/>
      <c r="F11" s="8" t="str">
        <f>RSOUNDEX(A11)</f>
        <v>S123</v>
      </c>
      <c r="G11" s="53"/>
      <c r="H11" s="8" t="str">
        <f>FonemaPT(A11)</f>
        <v>SEBATIA</v>
      </c>
      <c r="I11" s="53"/>
    </row>
    <row r="12" spans="1:9" ht="18.75" x14ac:dyDescent="0.3">
      <c r="A12" s="4"/>
      <c r="B12" s="8"/>
      <c r="C12" s="4"/>
      <c r="D12" s="15"/>
      <c r="F12" s="8"/>
      <c r="H12" s="8"/>
    </row>
    <row r="13" spans="1:9" ht="18.75" customHeight="1" x14ac:dyDescent="0.3">
      <c r="A13" s="4" t="s">
        <v>9</v>
      </c>
      <c r="B13" s="8" t="str">
        <f>BuscaFoneticaBR(A13)</f>
        <v>FEREPE</v>
      </c>
      <c r="C13" s="53" t="str">
        <f>IF(B13=B14,"Iguais","Diferentes")</f>
        <v>Iguais</v>
      </c>
      <c r="D13" s="15" t="str">
        <f>FonemaPT(A13,1)</f>
        <v>FLP</v>
      </c>
      <c r="E13" s="53" t="str">
        <f>IF(D13=D14,"Iguais","Diferentes")</f>
        <v>Iguais</v>
      </c>
      <c r="F13" s="8" t="str">
        <f>RSOUNDEX(A13)</f>
        <v>F41</v>
      </c>
      <c r="G13" s="53" t="str">
        <f>IF(F13=F14,"Iguais","Diferentes")</f>
        <v>Iguais</v>
      </c>
      <c r="H13" s="8" t="str">
        <f>FonemaPT(A13)</f>
        <v>FELIPE</v>
      </c>
      <c r="I13" s="53" t="str">
        <f>IF(H13=H14,"Iguais","Diferentes")</f>
        <v>Iguais</v>
      </c>
    </row>
    <row r="14" spans="1:9" ht="18.75" customHeight="1" x14ac:dyDescent="0.3">
      <c r="A14" s="4" t="s">
        <v>10</v>
      </c>
      <c r="B14" s="8" t="str">
        <f>BuscaFoneticaBR(A14)</f>
        <v>FEREPE</v>
      </c>
      <c r="C14" s="53"/>
      <c r="D14" s="15" t="str">
        <f>FonemaPT(A14,1)</f>
        <v>FLP</v>
      </c>
      <c r="E14" s="53"/>
      <c r="F14" s="8" t="str">
        <f>RSOUNDEX(A14)</f>
        <v>F41</v>
      </c>
      <c r="G14" s="53"/>
      <c r="H14" s="8" t="str">
        <f>FonemaPT(A14)</f>
        <v>FELIPE</v>
      </c>
      <c r="I14" s="53"/>
    </row>
    <row r="15" spans="1:9" ht="18.75" x14ac:dyDescent="0.3">
      <c r="A15" s="4"/>
      <c r="B15" s="8"/>
      <c r="C15" s="4"/>
      <c r="D15" s="15"/>
      <c r="F15" s="8"/>
      <c r="H15" s="8"/>
    </row>
    <row r="16" spans="1:9" ht="18.75" customHeight="1" x14ac:dyDescent="0.3">
      <c r="A16" s="4" t="s">
        <v>140</v>
      </c>
      <c r="B16" s="8" t="str">
        <f>BuscaFoneticaBR(A16)</f>
        <v>VAOTE</v>
      </c>
      <c r="C16" s="53" t="str">
        <f>IF(B16=B17,"Iguais","Diferentes")</f>
        <v>Iguais</v>
      </c>
      <c r="D16" s="15" t="str">
        <f>FonemaPT(A16,1)</f>
        <v>VT</v>
      </c>
      <c r="E16" s="53" t="str">
        <f>IF(D16=D17,"Iguais","Diferentes")</f>
        <v>Iguais</v>
      </c>
      <c r="F16" s="8" t="str">
        <f>RSOUNDEX(A16)</f>
        <v>W436</v>
      </c>
      <c r="G16" s="53" t="str">
        <f>IF(F16=F17,"Iguais","Diferentes")</f>
        <v>Diferentes</v>
      </c>
      <c r="H16" s="8" t="str">
        <f>FonemaPT(A16)</f>
        <v>VATE</v>
      </c>
      <c r="I16" s="53" t="str">
        <f>IF(H16=H17,"Iguais","Diferentes")</f>
        <v>Iguais</v>
      </c>
    </row>
    <row r="17" spans="1:9" ht="18.75" customHeight="1" x14ac:dyDescent="0.3">
      <c r="A17" s="4" t="s">
        <v>141</v>
      </c>
      <c r="B17" s="8" t="str">
        <f>BuscaFoneticaBR(A17)</f>
        <v>VAOTE</v>
      </c>
      <c r="C17" s="53"/>
      <c r="D17" s="15" t="str">
        <f>FonemaPT(A17,1)</f>
        <v>VT</v>
      </c>
      <c r="E17" s="53"/>
      <c r="F17" s="8" t="str">
        <f>RSOUNDEX(A17)</f>
        <v>V436</v>
      </c>
      <c r="G17" s="53"/>
      <c r="H17" s="8" t="str">
        <f>FonemaPT(A17)</f>
        <v>VATE</v>
      </c>
      <c r="I17" s="53"/>
    </row>
    <row r="18" spans="1:9" ht="18.75" x14ac:dyDescent="0.3">
      <c r="A18" s="4"/>
      <c r="B18" s="8"/>
      <c r="C18" s="4"/>
      <c r="D18" s="15"/>
      <c r="F18" s="8"/>
      <c r="H18" s="8"/>
    </row>
    <row r="19" spans="1:9" ht="18.75" customHeight="1" x14ac:dyDescent="0.3">
      <c r="A19" s="4" t="s">
        <v>11</v>
      </c>
      <c r="B19" s="8" t="str">
        <f>BuscaFoneticaBR(A19)</f>
        <v>AFOSO PEMA</v>
      </c>
      <c r="C19" s="53" t="str">
        <f>IF(B19=B20,"Iguais","Diferentes")</f>
        <v>Iguais</v>
      </c>
      <c r="D19" s="15" t="str">
        <f>FonemaPT(A19,1)</f>
        <v>FMS PM</v>
      </c>
      <c r="E19" s="53" t="str">
        <f>IF(D19=D20,"Iguais","Diferentes")</f>
        <v>Iguais</v>
      </c>
      <c r="F19" s="8" t="str">
        <f>RSOUNDEX(A19)</f>
        <v>A152</v>
      </c>
      <c r="G19" s="53" t="str">
        <f>IF(F19=F20,"Iguais","Diferentes")</f>
        <v>Diferentes</v>
      </c>
      <c r="H19" s="8" t="str">
        <f>FonemaPT(A19)</f>
        <v>AFOMSO PEMA</v>
      </c>
      <c r="I19" s="53" t="str">
        <f>IF(H19=H20,"Iguais","Diferentes")</f>
        <v>Diferentes</v>
      </c>
    </row>
    <row r="20" spans="1:9" ht="18.75" customHeight="1" x14ac:dyDescent="0.3">
      <c r="A20" s="4" t="s">
        <v>12</v>
      </c>
      <c r="B20" s="8" t="str">
        <f>BuscaFoneticaBR(A20)</f>
        <v>AFOSO PEMA</v>
      </c>
      <c r="C20" s="53"/>
      <c r="D20" s="15" t="str">
        <f>FonemaPT(A20,1)</f>
        <v>FMS PM</v>
      </c>
      <c r="E20" s="53"/>
      <c r="F20" s="8" t="str">
        <f>RSOUNDEX(A20)</f>
        <v>H152</v>
      </c>
      <c r="G20" s="53"/>
      <c r="H20" s="8" t="str">
        <f>FonemaPT(A20)</f>
        <v>HAFOMSO PEMHA</v>
      </c>
      <c r="I20" s="53"/>
    </row>
    <row r="21" spans="1:9" ht="18.75" x14ac:dyDescent="0.3">
      <c r="A21" s="4"/>
      <c r="B21" s="8"/>
      <c r="C21" s="4"/>
      <c r="D21" s="15"/>
      <c r="F21" s="8"/>
      <c r="H21" s="8"/>
    </row>
    <row r="22" spans="1:9" ht="18.75" customHeight="1" x14ac:dyDescent="0.3">
      <c r="A22" s="4" t="s">
        <v>13</v>
      </c>
      <c r="B22" s="8" t="str">
        <f>BuscaFoneticaBR(A22)</f>
        <v>KERO FERO</v>
      </c>
      <c r="C22" s="53" t="str">
        <f>IF(B22=B23,"Iguais","Diferentes")</f>
        <v>Iguais</v>
      </c>
      <c r="D22" s="15" t="str">
        <f>FonemaPT(A22,1)</f>
        <v>KL FL</v>
      </c>
      <c r="E22" s="53" t="str">
        <f>IF(D22=D23,"Iguais","Diferentes")</f>
        <v>Iguais</v>
      </c>
      <c r="F22" s="8" t="str">
        <f>RSOUNDEX(A22)</f>
        <v>Q621</v>
      </c>
      <c r="G22" s="53" t="str">
        <f>IF(F22=F23,"Iguais","Diferentes")</f>
        <v>Iguais</v>
      </c>
      <c r="H22" s="8" t="str">
        <f>FonemaPT(A22)</f>
        <v>KUEILO FILO</v>
      </c>
      <c r="I22" s="53" t="str">
        <f>IF(H22=H23,"Iguais","Diferentes")</f>
        <v>Iguais</v>
      </c>
    </row>
    <row r="23" spans="1:9" ht="18.75" customHeight="1" x14ac:dyDescent="0.3">
      <c r="A23" s="4" t="s">
        <v>14</v>
      </c>
      <c r="B23" s="8" t="str">
        <f>BuscaFoneticaBR(A23)</f>
        <v>KERO FERO</v>
      </c>
      <c r="C23" s="53"/>
      <c r="D23" s="15" t="str">
        <f>FonemaPT(A23,1)</f>
        <v>KL FL</v>
      </c>
      <c r="E23" s="53"/>
      <c r="F23" s="8" t="str">
        <f>RSOUNDEX(A23)</f>
        <v>Q621</v>
      </c>
      <c r="G23" s="53"/>
      <c r="H23" s="8" t="str">
        <f>FonemaPT(A23)</f>
        <v>KUEILO FILO</v>
      </c>
      <c r="I23" s="53"/>
    </row>
    <row r="24" spans="1:9" ht="18.75" x14ac:dyDescent="0.3">
      <c r="A24" s="4"/>
      <c r="B24" s="8"/>
      <c r="C24" s="4"/>
      <c r="D24" s="15"/>
      <c r="F24" s="8"/>
      <c r="H24" s="8"/>
    </row>
    <row r="25" spans="1:9" ht="18.75" customHeight="1" x14ac:dyDescent="0.3">
      <c r="A25" s="4" t="s">
        <v>15</v>
      </c>
      <c r="B25" s="8" t="str">
        <f>BuscaFoneticaBR(A25)</f>
        <v>SOERE</v>
      </c>
      <c r="C25" s="53" t="str">
        <f>IF(B25=B26,"Iguais","Diferentes")</f>
        <v>Iguais</v>
      </c>
      <c r="D25" s="15" t="str">
        <f>FonemaPT(A25,1)</f>
        <v>SL</v>
      </c>
      <c r="E25" s="53" t="str">
        <f>IF(D25=D26,"Iguais","Diferentes")</f>
        <v>Iguais</v>
      </c>
      <c r="F25" s="8" t="str">
        <f>RSOUNDEX(A25)</f>
        <v>S45</v>
      </c>
      <c r="G25" s="53" t="str">
        <f>IF(F25=F26,"Iguais","Diferentes")</f>
        <v>Iguais</v>
      </c>
      <c r="H25" s="8" t="str">
        <f>FonemaPT(A25)</f>
        <v>SUELE</v>
      </c>
      <c r="I25" s="53" t="str">
        <f>IF(H25=H26,"Iguais","Diferentes")</f>
        <v>Iguais</v>
      </c>
    </row>
    <row r="26" spans="1:9" ht="18.75" customHeight="1" x14ac:dyDescent="0.3">
      <c r="A26" s="4" t="s">
        <v>16</v>
      </c>
      <c r="B26" s="8" t="str">
        <f>BuscaFoneticaBR(A26)</f>
        <v>SOERE</v>
      </c>
      <c r="C26" s="53"/>
      <c r="D26" s="15" t="str">
        <f>FonemaPT(A26,1)</f>
        <v>SL</v>
      </c>
      <c r="E26" s="53"/>
      <c r="F26" s="8" t="str">
        <f>RSOUNDEX(A26)</f>
        <v>S45</v>
      </c>
      <c r="G26" s="53"/>
      <c r="H26" s="8" t="str">
        <f>FonemaPT(A26)</f>
        <v>SUELE</v>
      </c>
      <c r="I26" s="53"/>
    </row>
    <row r="27" spans="1:9" ht="18.75" x14ac:dyDescent="0.3">
      <c r="A27" s="4"/>
      <c r="B27" s="8"/>
      <c r="C27" s="4"/>
      <c r="D27" s="15"/>
      <c r="F27" s="8"/>
      <c r="H27" s="8"/>
    </row>
    <row r="28" spans="1:9" ht="18.75" customHeight="1" x14ac:dyDescent="0.3">
      <c r="A28" s="4" t="s">
        <v>17</v>
      </c>
      <c r="B28" s="8" t="str">
        <f>BuscaFoneticaBR(A28)</f>
        <v>ABAKASE</v>
      </c>
      <c r="C28" s="53" t="str">
        <f>IF(B28=B29,"Iguais","Diferentes")</f>
        <v>Iguais</v>
      </c>
      <c r="D28" s="15" t="str">
        <f>FonemaPT(A28,1)</f>
        <v>BKS</v>
      </c>
      <c r="E28" s="53" t="str">
        <f>IF(D28=D29,"Iguais","Diferentes")</f>
        <v>Diferentes</v>
      </c>
      <c r="F28" s="8" t="str">
        <f>RSOUNDEX(A28)</f>
        <v>A122</v>
      </c>
      <c r="G28" s="53" t="str">
        <f>IF(F28=F29,"Iguais","Diferentes")</f>
        <v>Iguais</v>
      </c>
      <c r="H28" s="8" t="str">
        <f>FonemaPT(A28)</f>
        <v>ABAKSI</v>
      </c>
      <c r="I28" s="53" t="str">
        <f>IF(H28=H29,"Iguais","Diferentes")</f>
        <v>Diferentes</v>
      </c>
    </row>
    <row r="29" spans="1:9" ht="18.75" customHeight="1" x14ac:dyDescent="0.3">
      <c r="A29" s="4" t="s">
        <v>18</v>
      </c>
      <c r="B29" s="8" t="str">
        <f>BuscaFoneticaBR(A29)</f>
        <v>ABAKASE</v>
      </c>
      <c r="C29" s="53"/>
      <c r="D29" s="15" t="str">
        <f>FonemaPT(A29,1)</f>
        <v>BKC</v>
      </c>
      <c r="E29" s="53"/>
      <c r="F29" s="8" t="str">
        <f>RSOUNDEX(A29)</f>
        <v>A122</v>
      </c>
      <c r="G29" s="53"/>
      <c r="H29" s="8" t="str">
        <f>FonemaPT(A29)</f>
        <v>ABHAKCHI</v>
      </c>
      <c r="I29" s="53"/>
    </row>
    <row r="30" spans="1:9" ht="18.75" x14ac:dyDescent="0.3">
      <c r="A30" s="4"/>
      <c r="B30" s="8"/>
      <c r="C30" s="4"/>
      <c r="D30" s="15"/>
      <c r="F30" s="8"/>
      <c r="H30" s="8"/>
    </row>
    <row r="31" spans="1:9" ht="18.75" customHeight="1" x14ac:dyDescent="0.3">
      <c r="A31" s="4" t="s">
        <v>19</v>
      </c>
      <c r="B31" s="8" t="str">
        <f>BuscaFoneticaBR(A31)</f>
        <v>SAROPE</v>
      </c>
      <c r="C31" s="53" t="str">
        <f>IF(B31=B32,"Iguais","Diferentes")</f>
        <v>Iguais</v>
      </c>
      <c r="D31" s="15" t="str">
        <f>FonemaPT(A31,1)</f>
        <v>SLP</v>
      </c>
      <c r="E31" s="53" t="str">
        <f>IF(D31=D32,"Iguais","Diferentes")</f>
        <v>Diferentes</v>
      </c>
      <c r="F31" s="8" t="str">
        <f>RSOUNDEX(A31)</f>
        <v>X61</v>
      </c>
      <c r="G31" s="53" t="str">
        <f>IF(F31=F32,"Iguais","Diferentes")</f>
        <v>Diferentes</v>
      </c>
      <c r="H31" s="8" t="str">
        <f>FonemaPT(A31)</f>
        <v>SALOPE</v>
      </c>
      <c r="I31" s="53" t="str">
        <f>IF(H31=H32,"Iguais","Diferentes")</f>
        <v>Diferentes</v>
      </c>
    </row>
    <row r="32" spans="1:9" ht="18.75" customHeight="1" x14ac:dyDescent="0.3">
      <c r="A32" s="4" t="s">
        <v>20</v>
      </c>
      <c r="B32" s="8" t="str">
        <f>BuscaFoneticaBR(A32)</f>
        <v>SAROPE</v>
      </c>
      <c r="C32" s="53"/>
      <c r="D32" s="15" t="str">
        <f>FonemaPT(A32,1)</f>
        <v>CLP</v>
      </c>
      <c r="E32" s="53"/>
      <c r="F32" s="8" t="str">
        <f>RSOUNDEX(A32)</f>
        <v>C61</v>
      </c>
      <c r="G32" s="53"/>
      <c r="H32" s="8" t="str">
        <f>FonemaPT(A32)</f>
        <v>CHALOPE</v>
      </c>
      <c r="I32" s="53"/>
    </row>
    <row r="33" spans="1:9" ht="18.75" x14ac:dyDescent="0.3">
      <c r="A33" s="4"/>
      <c r="B33" s="8"/>
      <c r="C33" s="4"/>
      <c r="D33" s="15"/>
      <c r="F33" s="8"/>
      <c r="H33" s="8"/>
    </row>
    <row r="34" spans="1:9" ht="18.75" customHeight="1" x14ac:dyDescent="0.3">
      <c r="A34" s="4" t="s">
        <v>21</v>
      </c>
      <c r="B34" s="8" t="str">
        <f>BuscaFoneticaBR(A34)</f>
        <v>SEKARA</v>
      </c>
      <c r="C34" s="53" t="str">
        <f>IF(B34=B35,"Iguais","Diferentes")</f>
        <v>Iguais</v>
      </c>
      <c r="D34" s="15" t="str">
        <f>FonemaPT(A34,1)</f>
        <v>SKL</v>
      </c>
      <c r="E34" s="53" t="str">
        <f>IF(D34=D35,"Iguais","Diferentes")</f>
        <v>Diferentes</v>
      </c>
      <c r="F34" s="8" t="str">
        <f>RSOUNDEX(A34)</f>
        <v>X26</v>
      </c>
      <c r="G34" s="53" t="str">
        <f>IF(F34=F35,"Iguais","Diferentes")</f>
        <v>Diferentes</v>
      </c>
      <c r="H34" s="8" t="str">
        <f>FonemaPT(A34)</f>
        <v>SIKLA</v>
      </c>
      <c r="I34" s="53" t="str">
        <f>IF(H34=H35,"Iguais","Diferentes")</f>
        <v>Diferentes</v>
      </c>
    </row>
    <row r="35" spans="1:9" ht="18.75" customHeight="1" x14ac:dyDescent="0.3">
      <c r="A35" s="4" t="s">
        <v>22</v>
      </c>
      <c r="B35" s="8" t="str">
        <f>BuscaFoneticaBR(A35)</f>
        <v>SEKARA</v>
      </c>
      <c r="C35" s="53"/>
      <c r="D35" s="15" t="str">
        <f>FonemaPT(A35,1)</f>
        <v>CKL</v>
      </c>
      <c r="E35" s="53"/>
      <c r="F35" s="8" t="str">
        <f>RSOUNDEX(A35)</f>
        <v>C26</v>
      </c>
      <c r="G35" s="53"/>
      <c r="H35" s="8" t="str">
        <f>FonemaPT(A35)</f>
        <v>CHIKLA</v>
      </c>
      <c r="I35" s="53"/>
    </row>
    <row r="36" spans="1:9" ht="18.75" x14ac:dyDescent="0.3">
      <c r="A36" s="4"/>
      <c r="B36" s="8"/>
      <c r="C36" s="4"/>
      <c r="D36" s="15"/>
      <c r="F36" s="8"/>
      <c r="H36" s="8"/>
    </row>
    <row r="37" spans="1:9" ht="18.75" customHeight="1" x14ac:dyDescent="0.3">
      <c r="A37" s="4" t="s">
        <v>23</v>
      </c>
      <c r="B37" s="8" t="str">
        <f>BuscaFoneticaBR(A37)</f>
        <v>SOKORATE</v>
      </c>
      <c r="C37" s="53" t="str">
        <f>IF(B37=B38,"Iguais","Diferentes")</f>
        <v>Iguais</v>
      </c>
      <c r="D37" s="15" t="str">
        <f>FonemaPT(A37,1)</f>
        <v>CKLT</v>
      </c>
      <c r="E37" s="53" t="str">
        <f>IF(D37=D38,"Iguais","Diferentes")</f>
        <v>Diferentes</v>
      </c>
      <c r="F37" s="8" t="str">
        <f>RSOUNDEX(A37)</f>
        <v>C243</v>
      </c>
      <c r="G37" s="53" t="str">
        <f>IF(F37=F38,"Iguais","Diferentes")</f>
        <v>Diferentes</v>
      </c>
      <c r="H37" s="8" t="str">
        <f>FonemaPT(A37)</f>
        <v>CHOKLATE</v>
      </c>
      <c r="I37" s="53" t="str">
        <f>IF(H37=H38,"Iguais","Diferentes")</f>
        <v>Diferentes</v>
      </c>
    </row>
    <row r="38" spans="1:9" ht="18.75" customHeight="1" x14ac:dyDescent="0.3">
      <c r="A38" s="4" t="s">
        <v>24</v>
      </c>
      <c r="B38" s="8" t="str">
        <f>BuscaFoneticaBR(A38)</f>
        <v>SOKORATE</v>
      </c>
      <c r="C38" s="53"/>
      <c r="D38" s="15" t="str">
        <f>FonemaPT(A38,1)</f>
        <v>SKLT</v>
      </c>
      <c r="E38" s="53"/>
      <c r="F38" s="8" t="str">
        <f>RSOUNDEX(A38)</f>
        <v>X243</v>
      </c>
      <c r="G38" s="53"/>
      <c r="H38" s="8" t="str">
        <f>FonemaPT(A38)</f>
        <v>SOKLATHE</v>
      </c>
      <c r="I38" s="53"/>
    </row>
    <row r="39" spans="1:9" ht="18.75" x14ac:dyDescent="0.3">
      <c r="A39" s="4"/>
      <c r="B39" s="8"/>
      <c r="C39" s="4"/>
      <c r="D39" s="15"/>
      <c r="F39" s="8"/>
      <c r="H39" s="8"/>
    </row>
    <row r="40" spans="1:9" ht="18.75" customHeight="1" x14ac:dyDescent="0.3">
      <c r="A40" s="4" t="s">
        <v>25</v>
      </c>
      <c r="B40" s="8" t="str">
        <f>BuscaFoneticaBR(A40)</f>
        <v>KAROSEREA</v>
      </c>
      <c r="C40" s="53" t="str">
        <f>IF(B40=B41,"Iguais","Diferentes")</f>
        <v>Iguais</v>
      </c>
      <c r="D40" s="15" t="str">
        <f>FonemaPT(A40,1)</f>
        <v>KLSL</v>
      </c>
      <c r="E40" s="53" t="str">
        <f>IF(D40=D41,"Iguais","Diferentes")</f>
        <v>Iguais</v>
      </c>
      <c r="F40" s="8" t="str">
        <f>RSOUNDEX(A40)</f>
        <v>C626</v>
      </c>
      <c r="G40" s="53" t="str">
        <f>IF(F40=F41,"Iguais","Diferentes")</f>
        <v>Iguais</v>
      </c>
      <c r="H40" s="8" t="str">
        <f>FonemaPT(A40)</f>
        <v>KLOSELIA</v>
      </c>
      <c r="I40" s="53" t="str">
        <f>IF(H40=H41,"Iguais","Diferentes")</f>
        <v>Iguais</v>
      </c>
    </row>
    <row r="41" spans="1:9" ht="18.75" customHeight="1" x14ac:dyDescent="0.3">
      <c r="A41" s="4" t="s">
        <v>26</v>
      </c>
      <c r="B41" s="8" t="str">
        <f>BuscaFoneticaBR(A41)</f>
        <v>KAROSEREA</v>
      </c>
      <c r="C41" s="53"/>
      <c r="D41" s="15" t="str">
        <f>FonemaPT(A41,1)</f>
        <v>KLSL</v>
      </c>
      <c r="E41" s="53"/>
      <c r="F41" s="8" t="str">
        <f>RSOUNDEX(A41)</f>
        <v>C626</v>
      </c>
      <c r="G41" s="53"/>
      <c r="H41" s="8" t="str">
        <f>FonemaPT(A41)</f>
        <v>KLOSELIA</v>
      </c>
      <c r="I41" s="53"/>
    </row>
    <row r="42" spans="1:9" ht="18.75" x14ac:dyDescent="0.3">
      <c r="A42" s="4"/>
      <c r="B42" s="8"/>
      <c r="C42" s="4"/>
      <c r="D42" s="15"/>
      <c r="F42" s="8"/>
      <c r="H42" s="8"/>
    </row>
    <row r="43" spans="1:9" ht="18.75" customHeight="1" x14ac:dyDescent="0.3">
      <c r="A43" s="4" t="s">
        <v>27</v>
      </c>
      <c r="B43" s="8" t="str">
        <f>BuscaFoneticaBR(A43)</f>
        <v>KOBE</v>
      </c>
      <c r="C43" s="53" t="str">
        <f>IF(B43=B44,"Iguais","Diferentes")</f>
        <v>Iguais</v>
      </c>
      <c r="D43" s="15" t="str">
        <f>FonemaPT(A43,1)</f>
        <v>KMB</v>
      </c>
      <c r="E43" s="53" t="str">
        <f>IF(D43=D44,"Iguais","Diferentes")</f>
        <v>Iguais</v>
      </c>
      <c r="F43" s="8" t="str">
        <f>RSOUNDEX(A43)</f>
        <v>K51</v>
      </c>
      <c r="G43" s="53" t="str">
        <f>IF(F43=F44,"Iguais","Diferentes")</f>
        <v>Diferentes</v>
      </c>
      <c r="H43" s="8" t="str">
        <f>FonemaPT(A43)</f>
        <v>KOMBI</v>
      </c>
      <c r="I43" s="53" t="str">
        <f>IF(H43=H44,"Iguais","Diferentes")</f>
        <v>Diferentes</v>
      </c>
    </row>
    <row r="44" spans="1:9" ht="18.75" customHeight="1" x14ac:dyDescent="0.3">
      <c r="A44" s="4" t="s">
        <v>28</v>
      </c>
      <c r="B44" s="8" t="str">
        <f>BuscaFoneticaBR(A44)</f>
        <v>KOBE</v>
      </c>
      <c r="C44" s="53"/>
      <c r="D44" s="15" t="str">
        <f>FonemaPT(A44,1)</f>
        <v>KMB</v>
      </c>
      <c r="E44" s="53"/>
      <c r="F44" s="8" t="str">
        <f>RSOUNDEX(A44)</f>
        <v>C51</v>
      </c>
      <c r="G44" s="53"/>
      <c r="H44" s="8" t="str">
        <f>FonemaPT(A44)</f>
        <v>KMBI</v>
      </c>
      <c r="I44" s="53"/>
    </row>
    <row r="45" spans="1:9" ht="18.75" x14ac:dyDescent="0.3">
      <c r="A45" s="4"/>
      <c r="B45" s="8"/>
      <c r="C45" s="4"/>
      <c r="D45" s="15"/>
      <c r="F45" s="8"/>
      <c r="H45" s="8"/>
    </row>
    <row r="46" spans="1:9" ht="18.75" customHeight="1" x14ac:dyDescent="0.3">
      <c r="A46" s="4" t="s">
        <v>29</v>
      </c>
      <c r="B46" s="8" t="str">
        <f>BuscaFoneticaBR(A46)</f>
        <v>AKASEA</v>
      </c>
      <c r="C46" s="53" t="str">
        <f>IF(B46=B47,"Iguais","Diferentes")</f>
        <v>Iguais</v>
      </c>
      <c r="D46" s="15" t="str">
        <f>FonemaPT(A46,1)</f>
        <v>KS</v>
      </c>
      <c r="E46" s="53" t="str">
        <f>IF(D46=D47,"Iguais","Diferentes")</f>
        <v>Iguais</v>
      </c>
      <c r="F46" s="8" t="str">
        <f>RSOUNDEX(A46)</f>
        <v>A22</v>
      </c>
      <c r="G46" s="53" t="str">
        <f>IF(F46=F47,"Iguais","Diferentes")</f>
        <v>Iguais</v>
      </c>
      <c r="H46" s="8" t="str">
        <f>FonemaPT(A46)</f>
        <v>AKSIA</v>
      </c>
      <c r="I46" s="53" t="str">
        <f>IF(H46=H47,"Iguais","Diferentes")</f>
        <v>Iguais</v>
      </c>
    </row>
    <row r="47" spans="1:9" ht="18.75" customHeight="1" x14ac:dyDescent="0.3">
      <c r="A47" s="4" t="s">
        <v>30</v>
      </c>
      <c r="B47" s="8" t="str">
        <f>BuscaFoneticaBR(A47)</f>
        <v>AKASEA</v>
      </c>
      <c r="C47" s="53"/>
      <c r="D47" s="15" t="str">
        <f>FonemaPT(A47,1)</f>
        <v>KS</v>
      </c>
      <c r="E47" s="53"/>
      <c r="F47" s="8" t="str">
        <f>RSOUNDEX(A47)</f>
        <v>A22</v>
      </c>
      <c r="G47" s="53"/>
      <c r="H47" s="8" t="str">
        <f>FonemaPT(A47)</f>
        <v>AKSIA</v>
      </c>
      <c r="I47" s="53"/>
    </row>
    <row r="48" spans="1:9" ht="18.75" x14ac:dyDescent="0.3">
      <c r="A48" s="4"/>
      <c r="B48" s="8"/>
      <c r="C48" s="4"/>
      <c r="D48" s="15"/>
      <c r="F48" s="8"/>
      <c r="H48" s="8"/>
    </row>
    <row r="49" spans="1:9" ht="18.75" customHeight="1" x14ac:dyDescent="0.3">
      <c r="A49" s="4" t="s">
        <v>31</v>
      </c>
      <c r="B49" s="8" t="str">
        <f>BuscaFoneticaBR(A49)</f>
        <v>ESOTOPO</v>
      </c>
      <c r="C49" s="53" t="str">
        <f>IF(B49=B50,"Iguais","Diferentes")</f>
        <v>Iguais</v>
      </c>
      <c r="D49" s="15" t="str">
        <f>FonemaPT(A49,1)</f>
        <v>STP</v>
      </c>
      <c r="E49" s="53" t="str">
        <f>IF(D49=D50,"Iguais","Diferentes")</f>
        <v>Iguais</v>
      </c>
      <c r="F49" s="8" t="str">
        <f>RSOUNDEX(A49)</f>
        <v>I231</v>
      </c>
      <c r="G49" s="53" t="str">
        <f>IF(F49=F50,"Iguais","Diferentes")</f>
        <v>Iguais</v>
      </c>
      <c r="H49" s="8" t="str">
        <f>FonemaPT(A49)</f>
        <v>ISOTOPO</v>
      </c>
      <c r="I49" s="53" t="str">
        <f>IF(H49=H50,"Iguais","Diferentes")</f>
        <v>Diferentes</v>
      </c>
    </row>
    <row r="50" spans="1:9" ht="18.75" customHeight="1" x14ac:dyDescent="0.3">
      <c r="A50" s="4" t="s">
        <v>32</v>
      </c>
      <c r="B50" s="8" t="str">
        <f>BuscaFoneticaBR(A50)</f>
        <v>ESOTOPO</v>
      </c>
      <c r="C50" s="53"/>
      <c r="D50" s="15" t="str">
        <f>FonemaPT(A50,1)</f>
        <v>STP</v>
      </c>
      <c r="E50" s="53"/>
      <c r="F50" s="8" t="str">
        <f>RSOUNDEX(A50)</f>
        <v>I231</v>
      </c>
      <c r="G50" s="53"/>
      <c r="H50" s="8" t="str">
        <f>FonemaPT(A50)</f>
        <v>ISOTHOPO</v>
      </c>
      <c r="I50" s="53"/>
    </row>
    <row r="51" spans="1:9" ht="18.75" x14ac:dyDescent="0.3">
      <c r="A51" s="4"/>
      <c r="B51" s="8"/>
      <c r="C51" s="4"/>
      <c r="D51" s="15"/>
      <c r="F51" s="8"/>
      <c r="H51" s="8"/>
    </row>
    <row r="52" spans="1:9" ht="18.75" customHeight="1" x14ac:dyDescent="0.3">
      <c r="A52" s="4" t="s">
        <v>33</v>
      </c>
      <c r="B52" s="8" t="str">
        <f>BuscaFoneticaBR(A52)</f>
        <v>ASESOREA</v>
      </c>
      <c r="C52" s="53" t="str">
        <f>IF(B52=B53,"Iguais","Diferentes")</f>
        <v>Iguais</v>
      </c>
      <c r="D52" s="15" t="str">
        <f>FonemaPT(A52,1)</f>
        <v>SL</v>
      </c>
      <c r="E52" s="53" t="str">
        <f>IF(D52=D53,"Iguais","Diferentes")</f>
        <v>Iguais</v>
      </c>
      <c r="F52" s="8" t="str">
        <f>RSOUNDEX(A52)</f>
        <v>A226</v>
      </c>
      <c r="G52" s="53" t="str">
        <f>IF(F52=F53,"Iguais","Diferentes")</f>
        <v>Iguais</v>
      </c>
      <c r="H52" s="8" t="str">
        <f>FonemaPT(A52)</f>
        <v>ASESOLIA</v>
      </c>
      <c r="I52" s="53" t="str">
        <f>IF(H52=H53,"Iguais","Diferentes")</f>
        <v>Iguais</v>
      </c>
    </row>
    <row r="53" spans="1:9" ht="18.75" customHeight="1" x14ac:dyDescent="0.3">
      <c r="A53" s="4" t="s">
        <v>34</v>
      </c>
      <c r="B53" s="8" t="str">
        <f>BuscaFoneticaBR(A53)</f>
        <v>ASESOREA</v>
      </c>
      <c r="C53" s="53"/>
      <c r="D53" s="15" t="str">
        <f>FonemaPT(A53,1)</f>
        <v>SL</v>
      </c>
      <c r="E53" s="53"/>
      <c r="F53" s="8" t="str">
        <f>RSOUNDEX(A53)</f>
        <v>A226</v>
      </c>
      <c r="G53" s="53"/>
      <c r="H53" s="8" t="str">
        <f>FonemaPT(A53)</f>
        <v>ASESOLIA</v>
      </c>
      <c r="I53" s="53"/>
    </row>
    <row r="54" spans="1:9" ht="18.75" x14ac:dyDescent="0.3">
      <c r="A54" s="4"/>
      <c r="B54" s="8"/>
      <c r="C54" s="4"/>
      <c r="D54" s="15"/>
      <c r="F54" s="8"/>
      <c r="H54" s="8"/>
    </row>
    <row r="55" spans="1:9" ht="18.75" customHeight="1" x14ac:dyDescent="0.3">
      <c r="A55" s="4" t="s">
        <v>35</v>
      </c>
      <c r="B55" s="8" t="str">
        <f>BuscaFoneticaBR(A55)</f>
        <v>KAESEMA</v>
      </c>
      <c r="C55" s="53" t="str">
        <f>IF(B55=B56,"Iguais","Diferentes")</f>
        <v>Iguais</v>
      </c>
      <c r="D55" s="15" t="str">
        <f>FonemaPT(A55,1)</f>
        <v>KSM</v>
      </c>
      <c r="E55" s="53" t="str">
        <f>IF(D55=D56,"Iguais","Diferentes")</f>
        <v>Diferentes</v>
      </c>
      <c r="F55" s="8" t="str">
        <f>RSOUNDEX(A55)</f>
        <v>C25</v>
      </c>
      <c r="G55" s="53" t="str">
        <f>IF(F55=F56,"Iguais","Diferentes")</f>
        <v>Iguais</v>
      </c>
      <c r="H55" s="8" t="str">
        <f>FonemaPT(A55)</f>
        <v>KISIMHA</v>
      </c>
      <c r="I55" s="53" t="str">
        <f>IF(H55=H56,"Iguais","Diferentes")</f>
        <v>Diferentes</v>
      </c>
    </row>
    <row r="56" spans="1:9" ht="18.75" customHeight="1" x14ac:dyDescent="0.3">
      <c r="A56" s="4" t="s">
        <v>36</v>
      </c>
      <c r="B56" s="8" t="str">
        <f>BuscaFoneticaBR(A56)</f>
        <v>KAESEMA</v>
      </c>
      <c r="C56" s="53"/>
      <c r="D56" s="15" t="str">
        <f>FonemaPT(A56,1)</f>
        <v>KCM</v>
      </c>
      <c r="E56" s="53"/>
      <c r="F56" s="8" t="str">
        <f>RSOUNDEX(A56)</f>
        <v>C25</v>
      </c>
      <c r="G56" s="53"/>
      <c r="H56" s="8" t="str">
        <f>FonemaPT(A56)</f>
        <v>KICHIMHA</v>
      </c>
      <c r="I56" s="53"/>
    </row>
    <row r="57" spans="1:9" ht="18.75" x14ac:dyDescent="0.3">
      <c r="A57" s="4"/>
      <c r="B57" s="8"/>
      <c r="C57" s="4"/>
      <c r="D57" s="15"/>
      <c r="F57" s="8"/>
      <c r="H57" s="8"/>
    </row>
    <row r="58" spans="1:9" ht="18.75" customHeight="1" x14ac:dyDescent="0.3">
      <c r="A58" s="4" t="s">
        <v>37</v>
      </c>
      <c r="B58" s="8" t="str">
        <f>BuscaFoneticaBR(A58)</f>
        <v>SEREBO</v>
      </c>
      <c r="C58" s="53" t="str">
        <f>IF(B58=B59,"Iguais","Diferentes")</f>
        <v>Iguais</v>
      </c>
      <c r="D58" s="15" t="str">
        <f>FonemaPT(A58,1)</f>
        <v>SLB</v>
      </c>
      <c r="E58" s="53" t="str">
        <f>IF(D58=D59,"Iguais","Diferentes")</f>
        <v>Iguais</v>
      </c>
      <c r="F58" s="8" t="str">
        <f>RSOUNDEX(A58)</f>
        <v>C616</v>
      </c>
      <c r="G58" s="53" t="str">
        <f>IF(F58=F59,"Iguais","Diferentes")</f>
        <v>Diferentes</v>
      </c>
      <c r="H58" s="8" t="str">
        <f>FonemaPT(A58)</f>
        <v>SELEBO</v>
      </c>
      <c r="I58" s="53" t="str">
        <f>IF(H58=H59,"Iguais","Diferentes")</f>
        <v>Iguais</v>
      </c>
    </row>
    <row r="59" spans="1:9" ht="18.75" customHeight="1" x14ac:dyDescent="0.3">
      <c r="A59" s="4" t="s">
        <v>38</v>
      </c>
      <c r="B59" s="8" t="str">
        <f>BuscaFoneticaBR(A59)</f>
        <v>SEREBO</v>
      </c>
      <c r="C59" s="53"/>
      <c r="D59" s="15" t="str">
        <f>FonemaPT(A59,1)</f>
        <v>SLB</v>
      </c>
      <c r="E59" s="53"/>
      <c r="F59" s="8" t="str">
        <f>RSOUNDEX(A59)</f>
        <v>C416</v>
      </c>
      <c r="G59" s="53"/>
      <c r="H59" s="8" t="str">
        <f>FonemaPT(A59)</f>
        <v>SELEBO</v>
      </c>
      <c r="I59" s="53"/>
    </row>
    <row r="60" spans="1:9" ht="18.75" x14ac:dyDescent="0.3">
      <c r="A60" s="4"/>
      <c r="B60" s="8"/>
      <c r="C60" s="4"/>
      <c r="D60" s="15"/>
      <c r="F60" s="8"/>
      <c r="H60" s="8"/>
    </row>
    <row r="61" spans="1:9" ht="18.75" customHeight="1" x14ac:dyDescent="0.3">
      <c r="A61" s="4" t="s">
        <v>39</v>
      </c>
      <c r="B61" s="8" t="str">
        <f>BuscaFoneticaBR(A61)</f>
        <v>ASESORETA</v>
      </c>
      <c r="C61" s="53" t="str">
        <f>IF(B61=B62,"Iguais","Diferentes")</f>
        <v>Iguais</v>
      </c>
      <c r="D61" s="15" t="str">
        <f>FonemaPT(A61,1)</f>
        <v>SMSLT</v>
      </c>
      <c r="E61" s="53" t="str">
        <f>IF(D61=D62,"Iguais","Diferentes")</f>
        <v>Iguais</v>
      </c>
      <c r="F61" s="8" t="str">
        <f>RSOUNDEX(A61)</f>
        <v>A252</v>
      </c>
      <c r="G61" s="53" t="str">
        <f>IF(F61=F62,"Iguais","Diferentes")</f>
        <v>Iguais</v>
      </c>
      <c r="H61" s="8" t="str">
        <f>FonemaPT(A61)</f>
        <v>ASEMSOLITA</v>
      </c>
      <c r="I61" s="53" t="str">
        <f>IF(H61=H62,"Iguais","Diferentes")</f>
        <v>Iguais</v>
      </c>
    </row>
    <row r="62" spans="1:9" ht="18.75" customHeight="1" x14ac:dyDescent="0.3">
      <c r="A62" s="4" t="s">
        <v>40</v>
      </c>
      <c r="B62" s="8" t="str">
        <f>BuscaFoneticaBR(A62)</f>
        <v>ASESORETA</v>
      </c>
      <c r="C62" s="53"/>
      <c r="D62" s="15" t="str">
        <f>FonemaPT(A62,1)</f>
        <v>SMSLT</v>
      </c>
      <c r="E62" s="53"/>
      <c r="F62" s="8" t="str">
        <f>RSOUNDEX(A62)</f>
        <v>A252</v>
      </c>
      <c r="G62" s="53"/>
      <c r="H62" s="8" t="str">
        <f>FonemaPT(A62)</f>
        <v>ASEMSOLITA</v>
      </c>
      <c r="I62" s="53"/>
    </row>
    <row r="63" spans="1:9" ht="18.75" x14ac:dyDescent="0.3">
      <c r="A63" s="4"/>
      <c r="B63" s="8"/>
      <c r="C63" s="4"/>
      <c r="D63" s="15"/>
      <c r="F63" s="8"/>
      <c r="H63" s="8"/>
    </row>
    <row r="64" spans="1:9" ht="18.75" customHeight="1" x14ac:dyDescent="0.3">
      <c r="A64" s="4" t="s">
        <v>41</v>
      </c>
      <c r="B64" s="8" t="str">
        <f>BuscaFoneticaBR(A64)</f>
        <v>ASETO</v>
      </c>
      <c r="C64" s="53" t="str">
        <f>IF(B64=B65,"Iguais","Diferentes")</f>
        <v>Iguais</v>
      </c>
      <c r="D64" s="15" t="str">
        <f>FonemaPT(A64,1)</f>
        <v>SMT</v>
      </c>
      <c r="E64" s="53" t="str">
        <f>IF(D64=D65,"Iguais","Diferentes")</f>
        <v>Iguais</v>
      </c>
      <c r="F64" s="8" t="str">
        <f>RSOUNDEX(A64)</f>
        <v>A253</v>
      </c>
      <c r="G64" s="53" t="str">
        <f>IF(F64=F65,"Iguais","Diferentes")</f>
        <v>Iguais</v>
      </c>
      <c r="H64" s="8" t="str">
        <f>FonemaPT(A64)</f>
        <v>ASEMTO</v>
      </c>
      <c r="I64" s="53" t="str">
        <f>IF(H64=H65,"Iguais","Diferentes")</f>
        <v>Iguais</v>
      </c>
    </row>
    <row r="65" spans="1:9" ht="18.75" customHeight="1" x14ac:dyDescent="0.3">
      <c r="A65" s="4" t="s">
        <v>42</v>
      </c>
      <c r="B65" s="8" t="str">
        <f>BuscaFoneticaBR(A65)</f>
        <v>ASETO</v>
      </c>
      <c r="C65" s="53"/>
      <c r="D65" s="15" t="str">
        <f>FonemaPT(A65,1)</f>
        <v>SMT</v>
      </c>
      <c r="E65" s="53"/>
      <c r="F65" s="8" t="str">
        <f>RSOUNDEX(A65)</f>
        <v>A253</v>
      </c>
      <c r="G65" s="53"/>
      <c r="H65" s="8" t="str">
        <f>FonemaPT(A65)</f>
        <v>ASEMTO</v>
      </c>
      <c r="I65" s="53"/>
    </row>
    <row r="66" spans="1:9" ht="18.75" x14ac:dyDescent="0.3">
      <c r="A66" s="4"/>
      <c r="B66" s="8"/>
      <c r="C66" s="4"/>
      <c r="D66" s="15"/>
      <c r="F66" s="8"/>
      <c r="H66" s="8"/>
    </row>
    <row r="67" spans="1:9" ht="18.75" customHeight="1" x14ac:dyDescent="0.3">
      <c r="A67" s="4" t="s">
        <v>43</v>
      </c>
      <c r="B67" s="8" t="str">
        <f>BuscaFoneticaBR(A67)</f>
        <v>ASEDE</v>
      </c>
      <c r="C67" s="53" t="str">
        <f>IF(B67=B68,"Iguais","Diferentes")</f>
        <v>Iguais</v>
      </c>
      <c r="D67" s="15" t="str">
        <f>FonemaPT(A67,1)</f>
        <v>SM</v>
      </c>
      <c r="E67" s="53" t="str">
        <f>IF(D67=D68,"Iguais","Diferentes")</f>
        <v>Iguais</v>
      </c>
      <c r="F67" s="8" t="str">
        <f>RSOUNDEX(A67)</f>
        <v>A253</v>
      </c>
      <c r="G67" s="53" t="str">
        <f>IF(F67=F68,"Iguais","Diferentes")</f>
        <v>Iguais</v>
      </c>
      <c r="H67" s="8" t="str">
        <f>FonemaPT(A67)</f>
        <v>ASEME</v>
      </c>
      <c r="I67" s="53" t="str">
        <f>IF(H67=H68,"Iguais","Diferentes")</f>
        <v>Iguais</v>
      </c>
    </row>
    <row r="68" spans="1:9" ht="18.75" customHeight="1" x14ac:dyDescent="0.3">
      <c r="A68" s="4" t="s">
        <v>44</v>
      </c>
      <c r="B68" s="8" t="str">
        <f>BuscaFoneticaBR(A68)</f>
        <v>ASEDE</v>
      </c>
      <c r="C68" s="53"/>
      <c r="D68" s="15" t="str">
        <f>FonemaPT(A68,1)</f>
        <v>SM</v>
      </c>
      <c r="E68" s="53"/>
      <c r="F68" s="8" t="str">
        <f>RSOUNDEX(A68)</f>
        <v>A253</v>
      </c>
      <c r="G68" s="53"/>
      <c r="H68" s="8" t="str">
        <f>FonemaPT(A68)</f>
        <v>ASEME</v>
      </c>
      <c r="I68" s="53"/>
    </row>
    <row r="69" spans="1:9" ht="18.75" x14ac:dyDescent="0.3">
      <c r="A69" s="4"/>
      <c r="B69" s="8"/>
      <c r="C69" s="4"/>
      <c r="D69" s="15"/>
      <c r="F69" s="8"/>
      <c r="H69" s="8"/>
    </row>
    <row r="70" spans="1:9" ht="18.75" customHeight="1" x14ac:dyDescent="0.3">
      <c r="A70" s="4" t="s">
        <v>45</v>
      </c>
      <c r="B70" s="8" t="str">
        <f t="shared" ref="B70:B111" si="0">BuscaFoneticaBR(A70)</f>
        <v>ASESOREO</v>
      </c>
      <c r="C70" s="53" t="str">
        <f>IF(B70=B71,"Iguais","Diferentes")</f>
        <v>Iguais</v>
      </c>
      <c r="D70" s="15" t="str">
        <f>FonemaPT(A70,1)</f>
        <v>SL</v>
      </c>
      <c r="E70" s="53" t="str">
        <f>IF(D70=D71,"Iguais","Diferentes")</f>
        <v>Iguais</v>
      </c>
      <c r="F70" s="8" t="str">
        <f>RSOUNDEX(A70)</f>
        <v>A226</v>
      </c>
      <c r="G70" s="53" t="str">
        <f>IF(F70=F71,"Iguais","Diferentes")</f>
        <v>Iguais</v>
      </c>
      <c r="H70" s="8" t="str">
        <f>FonemaPT(A70)</f>
        <v>ASESOLIO</v>
      </c>
      <c r="I70" s="53" t="str">
        <f>IF(H70=H71,"Iguais","Diferentes")</f>
        <v>Iguais</v>
      </c>
    </row>
    <row r="71" spans="1:9" ht="18.75" customHeight="1" x14ac:dyDescent="0.3">
      <c r="A71" s="4" t="s">
        <v>46</v>
      </c>
      <c r="B71" s="8" t="str">
        <f t="shared" si="0"/>
        <v>ASESOREO</v>
      </c>
      <c r="C71" s="53"/>
      <c r="D71" s="15" t="str">
        <f>FonemaPT(A71,1)</f>
        <v>SL</v>
      </c>
      <c r="E71" s="53"/>
      <c r="F71" s="8" t="str">
        <f>RSOUNDEX(A71)</f>
        <v>A226</v>
      </c>
      <c r="G71" s="53"/>
      <c r="H71" s="8" t="str">
        <f>FonemaPT(A71)</f>
        <v>ASESOLIO</v>
      </c>
      <c r="I71" s="53"/>
    </row>
    <row r="72" spans="1:9" ht="18.75" x14ac:dyDescent="0.3">
      <c r="A72" s="4"/>
      <c r="B72" s="8"/>
      <c r="C72" s="4"/>
      <c r="D72" s="15"/>
      <c r="F72" s="8"/>
      <c r="H72" s="8"/>
    </row>
    <row r="73" spans="1:9" ht="18.75" customHeight="1" x14ac:dyDescent="0.3">
      <c r="A73" s="4" t="s">
        <v>47</v>
      </c>
      <c r="B73" s="8" t="str">
        <f t="shared" si="0"/>
        <v>ASO</v>
      </c>
      <c r="C73" s="53" t="str">
        <f>IF(B73=B74,"Iguais","Diferentes")</f>
        <v>Iguais</v>
      </c>
      <c r="D73" s="15" t="str">
        <f>FonemaPT(A73,1)</f>
        <v>S</v>
      </c>
      <c r="E73" s="53" t="str">
        <f>IF(D73=D74,"Iguais","Diferentes")</f>
        <v>Iguais</v>
      </c>
      <c r="F73" s="8" t="str">
        <f>RSOUNDEX(A73)</f>
        <v>A</v>
      </c>
      <c r="G73" s="53" t="str">
        <f>IF(F73=F74,"Iguais","Diferentes")</f>
        <v>Diferentes</v>
      </c>
      <c r="H73" s="8" t="str">
        <f>FonemaPT(A73)</f>
        <v>ASO</v>
      </c>
      <c r="I73" s="53" t="str">
        <f>IF(H73=H74,"Iguais","Diferentes")</f>
        <v>Iguais</v>
      </c>
    </row>
    <row r="74" spans="1:9" ht="18.75" customHeight="1" x14ac:dyDescent="0.3">
      <c r="A74" s="4" t="s">
        <v>48</v>
      </c>
      <c r="B74" s="8" t="str">
        <f t="shared" si="0"/>
        <v>ASO</v>
      </c>
      <c r="C74" s="53"/>
      <c r="D74" s="15" t="str">
        <f>FonemaPT(A74,1)</f>
        <v>S</v>
      </c>
      <c r="E74" s="53"/>
      <c r="F74" s="8" t="str">
        <f>RSOUNDEX(A74)</f>
        <v>A2</v>
      </c>
      <c r="G74" s="53"/>
      <c r="H74" s="8" t="str">
        <f>FonemaPT(A74)</f>
        <v>ASO</v>
      </c>
      <c r="I74" s="53"/>
    </row>
    <row r="75" spans="1:9" ht="18.75" x14ac:dyDescent="0.3">
      <c r="A75" s="4"/>
      <c r="B75" s="8"/>
      <c r="C75" s="4"/>
      <c r="D75" s="15"/>
      <c r="F75" s="8"/>
      <c r="H75" s="8"/>
    </row>
    <row r="76" spans="1:9" ht="18.75" customHeight="1" x14ac:dyDescent="0.3">
      <c r="A76" s="4" t="s">
        <v>49</v>
      </c>
      <c r="B76" s="8" t="str">
        <f t="shared" si="0"/>
        <v>APESA</v>
      </c>
      <c r="C76" s="53" t="str">
        <f>IF(B76=B77,"Iguais","Diferentes")</f>
        <v>Iguais</v>
      </c>
      <c r="D76" s="15" t="str">
        <f>FonemaPT(A76,1)</f>
        <v>PS</v>
      </c>
      <c r="E76" s="53" t="str">
        <f>IF(D76=D77,"Iguais","Diferentes")</f>
        <v>Iguais</v>
      </c>
      <c r="F76" s="8" t="str">
        <f>RSOUNDEX(A76)</f>
        <v>A166</v>
      </c>
      <c r="G76" s="53" t="str">
        <f>IF(F76=F77,"Iguais","Diferentes")</f>
        <v>Diferentes</v>
      </c>
      <c r="H76" s="8" t="str">
        <f>FonemaPT(A76)</f>
        <v>APESA</v>
      </c>
      <c r="I76" s="53" t="str">
        <f>IF(H76=H77,"Iguais","Diferentes")</f>
        <v>Iguais</v>
      </c>
    </row>
    <row r="77" spans="1:9" ht="18.75" customHeight="1" x14ac:dyDescent="0.3">
      <c r="A77" s="4" t="s">
        <v>50</v>
      </c>
      <c r="B77" s="8" t="str">
        <f t="shared" si="0"/>
        <v>APESA</v>
      </c>
      <c r="C77" s="53"/>
      <c r="D77" s="15" t="str">
        <f>FonemaPT(A77,1)</f>
        <v>PS</v>
      </c>
      <c r="E77" s="53"/>
      <c r="F77" s="8" t="str">
        <f>RSOUNDEX(A77)</f>
        <v>A162</v>
      </c>
      <c r="G77" s="53"/>
      <c r="H77" s="8" t="str">
        <f>FonemaPT(A77)</f>
        <v>APESA</v>
      </c>
      <c r="I77" s="53"/>
    </row>
    <row r="78" spans="1:9" ht="18.75" x14ac:dyDescent="0.3">
      <c r="A78" s="4"/>
      <c r="B78" s="8"/>
      <c r="C78" s="4"/>
      <c r="D78" s="15"/>
      <c r="F78" s="8"/>
      <c r="H78" s="8"/>
    </row>
    <row r="79" spans="1:9" ht="18.75" customHeight="1" x14ac:dyDescent="0.3">
      <c r="A79" s="4" t="s">
        <v>51</v>
      </c>
      <c r="B79" s="8" t="str">
        <f t="shared" si="0"/>
        <v>AROSA</v>
      </c>
      <c r="C79" s="53" t="str">
        <f>IF(B79=B80,"Iguais","Diferentes")</f>
        <v>Iguais</v>
      </c>
      <c r="D79" s="15" t="str">
        <f>FonemaPT(A79,1)</f>
        <v>LS</v>
      </c>
      <c r="E79" s="53" t="str">
        <f>IF(D79=D80,"Iguais","Diferentes")</f>
        <v>Diferentes</v>
      </c>
      <c r="F79" s="8" t="str">
        <f>RSOUNDEX(A79)</f>
        <v>A626</v>
      </c>
      <c r="G79" s="53" t="str">
        <f>IF(F79=F80,"Iguais","Diferentes")</f>
        <v>Iguais</v>
      </c>
      <c r="H79" s="8" t="str">
        <f>FonemaPT(A79)</f>
        <v>ALOSA</v>
      </c>
      <c r="I79" s="53" t="str">
        <f>IF(H79=H80,"Iguais","Diferentes")</f>
        <v>Diferentes</v>
      </c>
    </row>
    <row r="80" spans="1:9" ht="18.75" customHeight="1" x14ac:dyDescent="0.3">
      <c r="A80" s="4" t="s">
        <v>52</v>
      </c>
      <c r="B80" s="8" t="str">
        <f t="shared" si="0"/>
        <v>AROSA</v>
      </c>
      <c r="C80" s="53"/>
      <c r="D80" s="15" t="str">
        <f>FonemaPT(A80,1)</f>
        <v>LC</v>
      </c>
      <c r="E80" s="53"/>
      <c r="F80" s="8" t="str">
        <f>RSOUNDEX(A80)</f>
        <v>A626</v>
      </c>
      <c r="G80" s="53"/>
      <c r="H80" s="8" t="str">
        <f>FonemaPT(A80)</f>
        <v>ALOCHA</v>
      </c>
      <c r="I80" s="53"/>
    </row>
    <row r="81" spans="1:9" ht="18.75" x14ac:dyDescent="0.3">
      <c r="A81" s="4"/>
      <c r="B81" s="8"/>
      <c r="C81" s="4"/>
      <c r="D81" s="15"/>
      <c r="F81" s="8"/>
      <c r="H81" s="8"/>
    </row>
    <row r="82" spans="1:9" ht="18.75" customHeight="1" x14ac:dyDescent="0.3">
      <c r="A82" s="4" t="s">
        <v>53</v>
      </c>
      <c r="B82" s="8" t="str">
        <f t="shared" si="0"/>
        <v>SESO</v>
      </c>
      <c r="C82" s="53" t="str">
        <f>IF(B82=B83,"Iguais","Diferentes")</f>
        <v>Iguais</v>
      </c>
      <c r="D82" s="15" t="str">
        <f>FonemaPT(A82,1)</f>
        <v>SMS</v>
      </c>
      <c r="E82" s="53" t="str">
        <f>IF(D82=D83,"Iguais","Diferentes")</f>
        <v>Iguais</v>
      </c>
      <c r="F82" s="8" t="str">
        <f>RSOUNDEX(A82)</f>
        <v>C524</v>
      </c>
      <c r="G82" s="53" t="str">
        <f>IF(F82=F83,"Iguais","Diferentes")</f>
        <v>Diferentes</v>
      </c>
      <c r="H82" s="8" t="str">
        <f>FonemaPT(A82)</f>
        <v>SEMSUA</v>
      </c>
      <c r="I82" s="53" t="str">
        <f>IF(H82=H83,"Iguais","Diferentes")</f>
        <v>Iguais</v>
      </c>
    </row>
    <row r="83" spans="1:9" ht="18.75" customHeight="1" x14ac:dyDescent="0.3">
      <c r="A83" s="4" t="s">
        <v>54</v>
      </c>
      <c r="B83" s="8" t="str">
        <f t="shared" si="0"/>
        <v>SESO</v>
      </c>
      <c r="C83" s="53"/>
      <c r="D83" s="15" t="str">
        <f>FonemaPT(A83,1)</f>
        <v>SMS</v>
      </c>
      <c r="E83" s="53"/>
      <c r="F83" s="8" t="str">
        <f>RSOUNDEX(A83)</f>
        <v>S524</v>
      </c>
      <c r="G83" s="53"/>
      <c r="H83" s="8" t="str">
        <f>FonemaPT(A83)</f>
        <v>SEMSUA</v>
      </c>
      <c r="I83" s="53"/>
    </row>
    <row r="84" spans="1:9" ht="18.75" x14ac:dyDescent="0.3">
      <c r="A84" s="4"/>
      <c r="B84" s="8"/>
      <c r="C84" s="4"/>
      <c r="D84" s="15"/>
      <c r="F84" s="8"/>
      <c r="H84" s="8"/>
    </row>
    <row r="85" spans="1:9" ht="18.75" customHeight="1" x14ac:dyDescent="0.3">
      <c r="A85" s="4" t="s">
        <v>55</v>
      </c>
      <c r="B85" s="8" t="str">
        <f t="shared" si="0"/>
        <v>KOSE</v>
      </c>
      <c r="C85" s="53" t="str">
        <f>IF(B85=B86,"Iguais","Diferentes")</f>
        <v>Iguais</v>
      </c>
      <c r="D85" s="15" t="str">
        <f>FonemaPT(A85,1)</f>
        <v>KS</v>
      </c>
      <c r="E85" s="53" t="str">
        <f>IF(D85=D86,"Iguais","Diferentes")</f>
        <v>Iguais</v>
      </c>
      <c r="F85" s="8" t="str">
        <f>RSOUNDEX(A85)</f>
        <v>C26</v>
      </c>
      <c r="G85" s="53" t="str">
        <f>IF(F85=F86,"Iguais","Diferentes")</f>
        <v>Iguais</v>
      </c>
      <c r="H85" s="8" t="str">
        <f>FonemaPT(A85)</f>
        <v>KSE</v>
      </c>
      <c r="I85" s="53" t="str">
        <f>IF(H85=H86,"Iguais","Diferentes")</f>
        <v>Iguais</v>
      </c>
    </row>
    <row r="86" spans="1:9" ht="18.75" customHeight="1" x14ac:dyDescent="0.3">
      <c r="A86" s="4" t="s">
        <v>56</v>
      </c>
      <c r="B86" s="8" t="str">
        <f t="shared" si="0"/>
        <v>KOSE</v>
      </c>
      <c r="C86" s="53"/>
      <c r="D86" s="15" t="str">
        <f>FonemaPT(A86,1)</f>
        <v>KS</v>
      </c>
      <c r="E86" s="53"/>
      <c r="F86" s="8" t="str">
        <f>RSOUNDEX(A86)</f>
        <v>C26</v>
      </c>
      <c r="G86" s="53"/>
      <c r="H86" s="8" t="str">
        <f>FonemaPT(A86)</f>
        <v>KSE</v>
      </c>
      <c r="I86" s="53"/>
    </row>
    <row r="87" spans="1:9" ht="18.75" x14ac:dyDescent="0.3">
      <c r="A87" s="4"/>
      <c r="B87" s="8"/>
      <c r="C87" s="4"/>
      <c r="D87" s="15"/>
      <c r="F87" s="8"/>
      <c r="H87" s="8"/>
    </row>
    <row r="88" spans="1:9" ht="18.75" customHeight="1" x14ac:dyDescent="0.3">
      <c r="A88" s="4" t="s">
        <v>57</v>
      </c>
      <c r="B88" s="8" t="str">
        <f t="shared" si="0"/>
        <v>KOSETO</v>
      </c>
      <c r="C88" s="53" t="str">
        <f>IF(B88=B89,"Iguais","Diferentes")</f>
        <v>Iguais</v>
      </c>
      <c r="D88" s="15" t="str">
        <f>FonemaPT(A88,1)</f>
        <v>KMST</v>
      </c>
      <c r="E88" s="53" t="str">
        <f>IF(D88=D89,"Iguais","Diferentes")</f>
        <v>Iguais</v>
      </c>
      <c r="F88" s="8" t="str">
        <f>RSOUNDEX(A88)</f>
        <v>C526</v>
      </c>
      <c r="G88" s="53" t="str">
        <f>IF(F88=F89,"Iguais","Diferentes")</f>
        <v>Iguais</v>
      </c>
      <c r="H88" s="8" t="str">
        <f>FonemaPT(A88)</f>
        <v>KMSETO</v>
      </c>
      <c r="I88" s="53" t="str">
        <f>IF(H88=H89,"Iguais","Diferentes")</f>
        <v>Iguais</v>
      </c>
    </row>
    <row r="89" spans="1:9" ht="18.75" customHeight="1" x14ac:dyDescent="0.3">
      <c r="A89" s="4" t="s">
        <v>58</v>
      </c>
      <c r="B89" s="8" t="str">
        <f t="shared" si="0"/>
        <v>KOSETO</v>
      </c>
      <c r="C89" s="53"/>
      <c r="D89" s="15" t="str">
        <f>FonemaPT(A89,1)</f>
        <v>KMST</v>
      </c>
      <c r="E89" s="53"/>
      <c r="F89" s="8" t="str">
        <f>RSOUNDEX(A89)</f>
        <v>C526</v>
      </c>
      <c r="G89" s="53"/>
      <c r="H89" s="8" t="str">
        <f>FonemaPT(A89)</f>
        <v>KMSETO</v>
      </c>
      <c r="I89" s="53"/>
    </row>
    <row r="90" spans="1:9" ht="18.75" x14ac:dyDescent="0.3">
      <c r="A90" s="4"/>
      <c r="B90" s="8"/>
      <c r="C90" s="4"/>
      <c r="D90" s="15"/>
      <c r="F90" s="8"/>
      <c r="H90" s="8"/>
    </row>
    <row r="91" spans="1:9" ht="18.75" customHeight="1" x14ac:dyDescent="0.3">
      <c r="A91" s="4" t="s">
        <v>59</v>
      </c>
      <c r="B91" s="8" t="str">
        <f t="shared" si="0"/>
        <v>ESEPETE</v>
      </c>
      <c r="C91" s="53" t="str">
        <f>IF(B91=B92,"Iguais","Diferentes")</f>
        <v>Iguais</v>
      </c>
      <c r="D91" s="15" t="str">
        <f>FonemaPT(A91,1)</f>
        <v>MSPMT</v>
      </c>
      <c r="E91" s="53" t="str">
        <f>IF(D91=D92,"Iguais","Diferentes")</f>
        <v>Iguais</v>
      </c>
      <c r="F91" s="8" t="str">
        <f>RSOUNDEX(A91)</f>
        <v>I521</v>
      </c>
      <c r="G91" s="53" t="str">
        <f>IF(F91=F92,"Iguais","Diferentes")</f>
        <v>Iguais</v>
      </c>
      <c r="H91" s="8" t="str">
        <f>FonemaPT(A91)</f>
        <v>IMSIPIEMTE</v>
      </c>
      <c r="I91" s="53" t="str">
        <f>IF(H91=H92,"Iguais","Diferentes")</f>
        <v>Iguais</v>
      </c>
    </row>
    <row r="92" spans="1:9" ht="18.75" customHeight="1" x14ac:dyDescent="0.3">
      <c r="A92" s="4" t="s">
        <v>60</v>
      </c>
      <c r="B92" s="8" t="str">
        <f t="shared" si="0"/>
        <v>ESEPETE</v>
      </c>
      <c r="C92" s="53"/>
      <c r="D92" s="15" t="str">
        <f>FonemaPT(A92,1)</f>
        <v>MSPMT</v>
      </c>
      <c r="E92" s="53"/>
      <c r="F92" s="8" t="str">
        <f>RSOUNDEX(A92)</f>
        <v>I521</v>
      </c>
      <c r="G92" s="53"/>
      <c r="H92" s="8" t="str">
        <f>FonemaPT(A92)</f>
        <v>IMSIPIEMTE</v>
      </c>
      <c r="I92" s="53"/>
    </row>
    <row r="93" spans="1:9" ht="18.75" x14ac:dyDescent="0.3">
      <c r="A93" s="4"/>
      <c r="B93" s="8"/>
      <c r="C93" s="4"/>
      <c r="D93" s="15"/>
      <c r="F93" s="8"/>
      <c r="H93" s="8"/>
    </row>
    <row r="94" spans="1:9" ht="18.75" customHeight="1" x14ac:dyDescent="0.3">
      <c r="A94" s="4" t="s">
        <v>61</v>
      </c>
      <c r="B94" s="8" t="str">
        <f t="shared" si="0"/>
        <v>SESEBEREDADE</v>
      </c>
      <c r="C94" s="53" t="str">
        <f>IF(B94=B95,"Iguais","Diferentes")</f>
        <v>Iguais</v>
      </c>
      <c r="D94" s="15" t="str">
        <f>FonemaPT(A94,1)</f>
        <v>SMSBLD</v>
      </c>
      <c r="E94" s="53" t="str">
        <f>IF(D94=D95,"Iguais","Diferentes")</f>
        <v>Iguais</v>
      </c>
      <c r="F94" s="8" t="str">
        <f>RSOUNDEX(A94)</f>
        <v>S521</v>
      </c>
      <c r="G94" s="53" t="str">
        <f>IF(F94=F95,"Iguais","Diferentes")</f>
        <v>Diferentes</v>
      </c>
      <c r="H94" s="8" t="str">
        <f>FonemaPT(A94)</f>
        <v>SEMSIBILIDADE</v>
      </c>
      <c r="I94" s="53" t="str">
        <f>IF(H94=H95,"Iguais","Diferentes")</f>
        <v>Iguais</v>
      </c>
    </row>
    <row r="95" spans="1:9" ht="18.75" customHeight="1" x14ac:dyDescent="0.3">
      <c r="A95" s="4" t="s">
        <v>62</v>
      </c>
      <c r="B95" s="8" t="str">
        <f t="shared" si="0"/>
        <v>SESEBEREDADE</v>
      </c>
      <c r="C95" s="53"/>
      <c r="D95" s="15" t="str">
        <f>FonemaPT(A95,1)</f>
        <v>SMSBLD</v>
      </c>
      <c r="E95" s="53"/>
      <c r="F95" s="8" t="str">
        <f>RSOUNDEX(A95)</f>
        <v>C521</v>
      </c>
      <c r="G95" s="53"/>
      <c r="H95" s="8" t="str">
        <f>FonemaPT(A95)</f>
        <v>SEMSIBILIDADE</v>
      </c>
      <c r="I95" s="53"/>
    </row>
    <row r="96" spans="1:9" ht="18.75" x14ac:dyDescent="0.3">
      <c r="A96" s="4"/>
      <c r="B96" s="8"/>
      <c r="C96" s="4"/>
      <c r="D96" s="15"/>
      <c r="F96" s="8"/>
      <c r="H96" s="8"/>
    </row>
    <row r="97" spans="1:9" ht="18.75" customHeight="1" x14ac:dyDescent="0.3">
      <c r="A97" s="4" t="s">
        <v>63</v>
      </c>
      <c r="B97" s="8" t="str">
        <f t="shared" si="0"/>
        <v>ETESESA</v>
      </c>
      <c r="C97" s="53" t="str">
        <f>IF(AND(B97=B98,B97=B99,B98=B99),"Iguais","Diferentes")</f>
        <v>Iguais</v>
      </c>
      <c r="D97" s="15" t="str">
        <f>FonemaPT(A97,1)</f>
        <v>MTLS</v>
      </c>
      <c r="E97" s="53" t="str">
        <f>IF(AND(D97=D98,D97=D99,D98=D99),"Iguais","Diferentes")</f>
        <v>Diferentes</v>
      </c>
      <c r="F97" s="8" t="str">
        <f>RSOUNDEX(A97)</f>
        <v>I536</v>
      </c>
      <c r="G97" s="53" t="str">
        <f>IF(AND(F97=F98,F97=F99,F98=F99),"Iguais","Diferentes")</f>
        <v>Iguais</v>
      </c>
      <c r="H97" s="8" t="str">
        <f>FonemaPT(A97)</f>
        <v>IMTELSES</v>
      </c>
      <c r="I97" s="53" t="str">
        <f>IF(AND(H97=H98,H97=H99,H98=H99),"Iguais","Diferentes")</f>
        <v>Diferentes</v>
      </c>
    </row>
    <row r="98" spans="1:9" ht="18.75" customHeight="1" x14ac:dyDescent="0.3">
      <c r="A98" s="4" t="s">
        <v>64</v>
      </c>
      <c r="B98" s="8" t="str">
        <f>BuscaFoneticaBR(A98)</f>
        <v>ETESESA</v>
      </c>
      <c r="C98" s="53"/>
      <c r="D98" s="15" t="str">
        <f>FonemaPT(A98,1)</f>
        <v>MTSCS</v>
      </c>
      <c r="E98" s="53"/>
      <c r="F98" s="8" t="str">
        <f>RSOUNDEX(A98)</f>
        <v>I536</v>
      </c>
      <c r="G98" s="53"/>
      <c r="H98" s="8" t="str">
        <f>FonemaPT(A98)</f>
        <v>IMTESECS</v>
      </c>
      <c r="I98" s="53"/>
    </row>
    <row r="99" spans="1:9" ht="18.75" customHeight="1" x14ac:dyDescent="0.3">
      <c r="A99" s="4" t="s">
        <v>65</v>
      </c>
      <c r="B99" s="8" t="str">
        <f t="shared" si="0"/>
        <v>ETESESA</v>
      </c>
      <c r="C99" s="53"/>
      <c r="D99" s="15" t="str">
        <f>FonemaPT(A99,1)</f>
        <v>MTS</v>
      </c>
      <c r="E99" s="53"/>
      <c r="F99" s="8" t="str">
        <f>RSOUNDEX(A99)</f>
        <v>I536</v>
      </c>
      <c r="G99" s="53"/>
      <c r="H99" s="8" t="str">
        <f>FonemaPT(A99)</f>
        <v>IMTESES</v>
      </c>
      <c r="I99" s="53"/>
    </row>
    <row r="100" spans="1:9" ht="18.75" x14ac:dyDescent="0.3">
      <c r="A100" s="4"/>
      <c r="B100" s="8"/>
      <c r="C100" s="4"/>
      <c r="D100" s="15"/>
      <c r="F100" s="8"/>
      <c r="H100" s="8"/>
    </row>
    <row r="101" spans="1:9" ht="18.75" customHeight="1" x14ac:dyDescent="0.3">
      <c r="A101" s="4" t="s">
        <v>66</v>
      </c>
      <c r="B101" s="8" t="str">
        <f>BuscaFoneticaBR(A101)</f>
        <v>PERPETEVA</v>
      </c>
      <c r="C101" s="53" t="str">
        <f>IF(B101=B102,"Iguais","Diferentes")</f>
        <v>Iguais</v>
      </c>
      <c r="D101" s="15" t="str">
        <f>FonemaPT(A101,1)</f>
        <v>PSPTV</v>
      </c>
      <c r="E101" s="53" t="str">
        <f>IF(D101=D102,"Iguais","Diferentes")</f>
        <v>Iguais</v>
      </c>
      <c r="F101" s="8" t="str">
        <f>RSOUNDEX(A101)</f>
        <v>P621</v>
      </c>
      <c r="G101" s="53" t="str">
        <f>IF(F101=F102,"Iguais","Diferentes")</f>
        <v>Iguais</v>
      </c>
      <c r="H101" s="8" t="str">
        <f>FonemaPT(A101)</f>
        <v>PESPETIVA</v>
      </c>
      <c r="I101" s="53" t="str">
        <f>IF(H101=H102,"Iguais","Diferentes")</f>
        <v>Iguais</v>
      </c>
    </row>
    <row r="102" spans="1:9" ht="18.75" customHeight="1" x14ac:dyDescent="0.3">
      <c r="A102" s="4" t="s">
        <v>67</v>
      </c>
      <c r="B102" s="8" t="str">
        <f t="shared" si="0"/>
        <v>PERPETEVA</v>
      </c>
      <c r="C102" s="53"/>
      <c r="D102" s="15" t="str">
        <f>FonemaPT(A102,1)</f>
        <v>PSPTV</v>
      </c>
      <c r="E102" s="53"/>
      <c r="F102" s="8" t="str">
        <f>RSOUNDEX(A102)</f>
        <v>P621</v>
      </c>
      <c r="G102" s="53"/>
      <c r="H102" s="8" t="str">
        <f>FonemaPT(A102)</f>
        <v>PESPETIVA</v>
      </c>
      <c r="I102" s="53"/>
    </row>
    <row r="103" spans="1:9" ht="18.75" x14ac:dyDescent="0.3">
      <c r="A103" s="4"/>
      <c r="B103" s="8"/>
      <c r="C103" s="4"/>
      <c r="D103" s="15"/>
      <c r="F103" s="8"/>
      <c r="H103" s="8"/>
    </row>
    <row r="104" spans="1:9" ht="18.75" customHeight="1" x14ac:dyDescent="0.3">
      <c r="A104" s="4" t="s">
        <v>68</v>
      </c>
      <c r="B104" s="8" t="str">
        <f>BuscaFoneticaBR(A104)</f>
        <v>AVEA</v>
      </c>
      <c r="C104" s="53" t="str">
        <f>IF(B104=B105,"Iguais","Diferentes")</f>
        <v>Iguais</v>
      </c>
      <c r="D104" s="15" t="str">
        <f>FonemaPT(A104,1)</f>
        <v>V</v>
      </c>
      <c r="E104" s="53" t="str">
        <f>IF(D104=D105,"Iguais","Diferentes")</f>
        <v>Iguais</v>
      </c>
      <c r="F104" s="8" t="str">
        <f>RSOUNDEX(A104)</f>
        <v>A1</v>
      </c>
      <c r="G104" s="53" t="str">
        <f>IF(F104=F105,"Iguais","Diferentes")</f>
        <v>Diferentes</v>
      </c>
      <c r="H104" s="8" t="str">
        <f>FonemaPT(A104)</f>
        <v>AVI</v>
      </c>
      <c r="I104" s="53" t="str">
        <f>IF(H104=H105,"Iguais","Diferentes")</f>
        <v>Diferentes</v>
      </c>
    </row>
    <row r="105" spans="1:9" ht="18.75" customHeight="1" x14ac:dyDescent="0.3">
      <c r="A105" s="4" t="s">
        <v>69</v>
      </c>
      <c r="B105" s="8" t="str">
        <f>BuscaFoneticaBR(A105)</f>
        <v>AVEA</v>
      </c>
      <c r="C105" s="53"/>
      <c r="D105" s="15" t="str">
        <f>FonemaPT(A105,1)</f>
        <v>V</v>
      </c>
      <c r="E105" s="53"/>
      <c r="F105" s="8" t="str">
        <f>RSOUNDEX(A105)</f>
        <v>H15</v>
      </c>
      <c r="G105" s="53"/>
      <c r="H105" s="8" t="str">
        <f>FonemaPT(A105)</f>
        <v>HAVIA</v>
      </c>
      <c r="I105" s="53"/>
    </row>
    <row r="106" spans="1:9" ht="18.75" x14ac:dyDescent="0.3">
      <c r="A106" s="4"/>
      <c r="B106" s="8"/>
      <c r="C106" s="4"/>
      <c r="D106" s="15"/>
      <c r="F106" s="8"/>
      <c r="H106" s="8"/>
    </row>
    <row r="107" spans="1:9" ht="18.75" customHeight="1" x14ac:dyDescent="0.3">
      <c r="A107" s="4" t="s">
        <v>70</v>
      </c>
      <c r="B107" s="8" t="str">
        <f>BuscaFoneticaBR(A107)</f>
        <v>TEMA</v>
      </c>
      <c r="C107" s="53" t="str">
        <f>IF(B107=B108,"Iguais","Diferentes")</f>
        <v>Iguais</v>
      </c>
      <c r="D107" s="15" t="str">
        <f>FonemaPT(A107,1)</f>
        <v>TM</v>
      </c>
      <c r="E107" s="53" t="str">
        <f>IF(D107=D108,"Iguais","Diferentes")</f>
        <v>Iguais</v>
      </c>
      <c r="F107" s="8" t="str">
        <f>RSOUNDEX(A107)</f>
        <v>T55</v>
      </c>
      <c r="G107" s="53" t="str">
        <f>IF(F107=F108,"Iguais","Diferentes")</f>
        <v>Diferentes</v>
      </c>
      <c r="H107" s="8" t="str">
        <f>FonemaPT(A107)</f>
        <v>TIMHA</v>
      </c>
      <c r="I107" s="53" t="str">
        <f>IF(H107=H108,"Iguais","Diferentes")</f>
        <v>Diferentes</v>
      </c>
    </row>
    <row r="108" spans="1:9" ht="18.75" customHeight="1" x14ac:dyDescent="0.3">
      <c r="A108" s="4" t="s">
        <v>71</v>
      </c>
      <c r="B108" s="8" t="str">
        <f>BuscaFoneticaBR(A108)</f>
        <v>TEMA</v>
      </c>
      <c r="C108" s="53"/>
      <c r="D108" s="15" t="str">
        <f>FonemaPT(A108,1)</f>
        <v>TM</v>
      </c>
      <c r="E108" s="53"/>
      <c r="F108" s="8" t="str">
        <f>RSOUNDEX(A108)</f>
        <v>T5</v>
      </c>
      <c r="G108" s="53"/>
      <c r="H108" s="8" t="str">
        <f>FonemaPT(A108)</f>
        <v>TIMH</v>
      </c>
      <c r="I108" s="53"/>
    </row>
    <row r="109" spans="1:9" ht="23.25" x14ac:dyDescent="0.3">
      <c r="A109" s="4"/>
      <c r="B109" s="8"/>
      <c r="C109" s="5"/>
      <c r="D109" s="15"/>
      <c r="F109" s="8"/>
      <c r="H109" s="8"/>
    </row>
    <row r="110" spans="1:9" ht="18.75" customHeight="1" x14ac:dyDescent="0.3">
      <c r="A110" s="4" t="s">
        <v>72</v>
      </c>
      <c r="B110" s="8" t="str">
        <f t="shared" si="0"/>
        <v>KARO</v>
      </c>
      <c r="C110" s="53" t="str">
        <f>IF(B110=B111,"Iguais","Diferentes")</f>
        <v>Iguais</v>
      </c>
      <c r="D110" s="15" t="str">
        <f>FonemaPT(A110,1)</f>
        <v>KL</v>
      </c>
      <c r="E110" s="53" t="str">
        <f>IF(D110=D111,"Iguais","Diferentes")</f>
        <v>Iguais</v>
      </c>
      <c r="F110" s="8" t="str">
        <f>RSOUNDEX(A110)</f>
        <v>C6</v>
      </c>
      <c r="G110" s="53" t="str">
        <f>IF(F110=F111,"Iguais","Diferentes")</f>
        <v>Iguais</v>
      </c>
      <c r="H110" s="8" t="str">
        <f>FonemaPT(A110)</f>
        <v>KLO</v>
      </c>
      <c r="I110" s="53" t="str">
        <f>IF(H110=H111,"Iguais","Diferentes")</f>
        <v>Iguais</v>
      </c>
    </row>
    <row r="111" spans="1:9" ht="18.75" customHeight="1" x14ac:dyDescent="0.3">
      <c r="A111" s="4" t="s">
        <v>73</v>
      </c>
      <c r="B111" s="8" t="str">
        <f t="shared" si="0"/>
        <v>KARO</v>
      </c>
      <c r="C111" s="53"/>
      <c r="D111" s="15" t="str">
        <f>FonemaPT(A111,1)</f>
        <v>KL</v>
      </c>
      <c r="E111" s="53"/>
      <c r="F111" s="8" t="str">
        <f>RSOUNDEX(A111)</f>
        <v>C6</v>
      </c>
      <c r="G111" s="53"/>
      <c r="H111" s="8" t="str">
        <f>FonemaPT(A111)</f>
        <v>KLO</v>
      </c>
      <c r="I111" s="53"/>
    </row>
    <row r="112" spans="1:9" ht="23.25" x14ac:dyDescent="0.3">
      <c r="A112" s="4"/>
      <c r="B112" s="8"/>
      <c r="C112" s="5"/>
      <c r="D112" s="15"/>
      <c r="F112" s="8"/>
      <c r="H112" s="8"/>
    </row>
    <row r="113" spans="1:9" ht="18.75" customHeight="1" x14ac:dyDescent="0.3">
      <c r="A113" s="4" t="s">
        <v>74</v>
      </c>
      <c r="B113" s="8" t="str">
        <f>BuscaFoneticaBR(A113)</f>
        <v>SETEMA</v>
      </c>
      <c r="C113" s="53" t="str">
        <f>IF(B113=B114,"Iguais","Diferentes")</f>
        <v>Iguais</v>
      </c>
      <c r="D113" s="15" t="str">
        <f>FonemaPT(A113,1)</f>
        <v>CLTM</v>
      </c>
      <c r="E113" s="53" t="str">
        <f>IF(D113=D114,"Iguais","Diferentes")</f>
        <v>Iguais</v>
      </c>
      <c r="F113" s="8" t="str">
        <f>RSOUNDEX(A113)</f>
        <v>C623</v>
      </c>
      <c r="G113" s="53" t="str">
        <f>IF(F113=F114,"Iguais","Diferentes")</f>
        <v>Iguais</v>
      </c>
      <c r="H113" s="8" t="str">
        <f>FonemaPT(A113)</f>
        <v>CHLITIMA</v>
      </c>
      <c r="I113" s="53" t="str">
        <f>IF(H113=H114,"Iguais","Diferentes")</f>
        <v>Diferentes</v>
      </c>
    </row>
    <row r="114" spans="1:9" ht="18.75" customHeight="1" x14ac:dyDescent="0.3">
      <c r="A114" s="4" t="s">
        <v>75</v>
      </c>
      <c r="B114" s="8" t="str">
        <f>BuscaFoneticaBR(A114)</f>
        <v>SETEMA</v>
      </c>
      <c r="C114" s="53"/>
      <c r="D114" s="15" t="str">
        <f>FonemaPT(A114,1)</f>
        <v>CLTM</v>
      </c>
      <c r="E114" s="53"/>
      <c r="F114" s="8" t="str">
        <f>RSOUNDEX(A114)</f>
        <v>C623</v>
      </c>
      <c r="G114" s="53"/>
      <c r="H114" s="8" t="str">
        <f>FonemaPT(A114)</f>
        <v>CLITIMA</v>
      </c>
      <c r="I114" s="53"/>
    </row>
    <row r="115" spans="1:9" ht="23.25" x14ac:dyDescent="0.3">
      <c r="A115" s="4"/>
      <c r="B115" s="8"/>
      <c r="C115" s="5"/>
      <c r="D115" s="15"/>
      <c r="F115" s="8"/>
      <c r="H115" s="8"/>
    </row>
    <row r="116" spans="1:9" ht="18.75" customHeight="1" x14ac:dyDescent="0.3">
      <c r="A116" s="4" t="s">
        <v>76</v>
      </c>
      <c r="B116" s="8" t="str">
        <f>BuscaFoneticaBR(A116)</f>
        <v>KAMEMA</v>
      </c>
      <c r="C116" s="53" t="str">
        <f>IF(B116=B117,"Iguais","Diferentes")</f>
        <v>Iguais</v>
      </c>
      <c r="D116" s="15" t="str">
        <f>FonemaPT(A116,1)</f>
        <v>KM</v>
      </c>
      <c r="E116" s="53" t="str">
        <f>IF(D116=D117,"Iguais","Diferentes")</f>
        <v>Iguais</v>
      </c>
      <c r="F116" s="8" t="str">
        <f>RSOUNDEX(A116)</f>
        <v>C555</v>
      </c>
      <c r="G116" s="53" t="str">
        <f>IF(F116=F117,"Iguais","Diferentes")</f>
        <v>Diferentes</v>
      </c>
      <c r="H116" s="8" t="str">
        <f>FonemaPT(A116)</f>
        <v>KMIMHA</v>
      </c>
      <c r="I116" s="53" t="str">
        <f>IF(H116=H117,"Iguais","Diferentes")</f>
        <v>Diferentes</v>
      </c>
    </row>
    <row r="117" spans="1:9" ht="18.75" customHeight="1" x14ac:dyDescent="0.3">
      <c r="A117" s="4" t="s">
        <v>77</v>
      </c>
      <c r="B117" s="8" t="str">
        <f>BuscaFoneticaBR(A117)</f>
        <v>KAMEMA</v>
      </c>
      <c r="C117" s="53"/>
      <c r="D117" s="15" t="str">
        <f>FonemaPT(A117,1)</f>
        <v>KM</v>
      </c>
      <c r="E117" s="53"/>
      <c r="F117" s="8" t="str">
        <f>RSOUNDEX(A117)</f>
        <v>C55</v>
      </c>
      <c r="G117" s="53"/>
      <c r="H117" s="8" t="str">
        <f>FonemaPT(A117)</f>
        <v>KMIMH</v>
      </c>
      <c r="I117" s="53"/>
    </row>
    <row r="118" spans="1:9" ht="23.25" x14ac:dyDescent="0.3">
      <c r="A118" s="4"/>
      <c r="B118" s="8"/>
      <c r="C118" s="5"/>
      <c r="D118" s="15"/>
      <c r="F118" s="8"/>
      <c r="H118" s="8"/>
    </row>
    <row r="119" spans="1:9" ht="18.75" customHeight="1" x14ac:dyDescent="0.3">
      <c r="A119" s="4" t="s">
        <v>78</v>
      </c>
      <c r="B119" s="8" t="str">
        <f>BuscaFoneticaBR(A119)</f>
        <v>EPESESEBEREDADE</v>
      </c>
      <c r="C119" s="53" t="str">
        <f>IF(B119=B120,"Iguais","Diferentes")</f>
        <v>Iguais</v>
      </c>
      <c r="D119" s="15" t="str">
        <f>FonemaPT(A119,1)</f>
        <v>PSMSBLD</v>
      </c>
      <c r="E119" s="53" t="str">
        <f>IF(D119=D120,"Iguais","Diferentes")</f>
        <v>Diferentes</v>
      </c>
      <c r="F119" s="8" t="str">
        <f>RSOUNDEX(A119)</f>
        <v>H162</v>
      </c>
      <c r="G119" s="53" t="str">
        <f>IF(F119=F120,"Iguais","Diferentes")</f>
        <v>Diferentes</v>
      </c>
      <c r="H119" s="8" t="str">
        <f>FonemaPT(A119)</f>
        <v>HIPESEMSIBILIDADE</v>
      </c>
      <c r="I119" s="53" t="str">
        <f>IF(H119=H120,"Iguais","Diferentes")</f>
        <v>Diferentes</v>
      </c>
    </row>
    <row r="120" spans="1:9" ht="18.75" customHeight="1" x14ac:dyDescent="0.3">
      <c r="A120" s="4" t="s">
        <v>79</v>
      </c>
      <c r="B120" s="8" t="str">
        <f>BuscaFoneticaBR(A120)</f>
        <v>EPESESEBEREDADE</v>
      </c>
      <c r="C120" s="53"/>
      <c r="D120" s="15" t="str">
        <f>FonemaPT(A120,1)</f>
        <v>PLSMSBLD</v>
      </c>
      <c r="E120" s="53"/>
      <c r="F120" s="8" t="str">
        <f>RSOUNDEX(A120)</f>
        <v>I162</v>
      </c>
      <c r="G120" s="53"/>
      <c r="H120" s="8" t="str">
        <f>FonemaPT(A120)</f>
        <v>IPELSEMSIBILIDADE</v>
      </c>
      <c r="I120" s="53"/>
    </row>
    <row r="121" spans="1:9" ht="23.25" x14ac:dyDescent="0.3">
      <c r="A121" s="4"/>
      <c r="B121" s="8"/>
      <c r="C121" s="5"/>
      <c r="D121" s="15"/>
      <c r="F121" s="8"/>
      <c r="H121" s="8"/>
    </row>
    <row r="122" spans="1:9" ht="18.75" customHeight="1" x14ac:dyDescent="0.3">
      <c r="A122" s="4" t="s">
        <v>80</v>
      </c>
      <c r="B122" s="8" t="str">
        <f>BuscaFoneticaBR(A122)</f>
        <v>ARO</v>
      </c>
      <c r="C122" s="53" t="str">
        <f>IF(AND(B122=B123,B122=B124,B123=B124),"Iguais","Diferentes")</f>
        <v>Iguais</v>
      </c>
      <c r="D122" s="15" t="str">
        <f>FonemaPT(A122,1)</f>
        <v>L</v>
      </c>
      <c r="E122" s="53" t="str">
        <f>IF(AND(D122=D123,D122=D124,D123=D124),"Iguais","Diferentes")</f>
        <v>Iguais</v>
      </c>
      <c r="F122" s="8" t="str">
        <f>RSOUNDEX(A122)</f>
        <v>A62</v>
      </c>
      <c r="G122" s="53" t="str">
        <f>IF(AND(F122=F123,F122=F124,F123=F124),"Iguais","Diferentes")</f>
        <v>Diferentes</v>
      </c>
      <c r="H122" s="8" t="str">
        <f>FonemaPT(A122)</f>
        <v>ALO</v>
      </c>
      <c r="I122" s="53" t="str">
        <f>IF(AND(H122=H123,H122=H124,H123=H124),"Iguais","Diferentes")</f>
        <v>Diferentes</v>
      </c>
    </row>
    <row r="123" spans="1:9" ht="18.75" customHeight="1" x14ac:dyDescent="0.3">
      <c r="A123" s="4" t="s">
        <v>81</v>
      </c>
      <c r="B123" s="8" t="str">
        <f>BuscaFoneticaBR(A123)</f>
        <v>ARO</v>
      </c>
      <c r="C123" s="53"/>
      <c r="D123" s="15" t="str">
        <f>FonemaPT(A123,1)</f>
        <v>L</v>
      </c>
      <c r="E123" s="53"/>
      <c r="F123" s="8" t="str">
        <f>RSOUNDEX(A123)</f>
        <v>A62</v>
      </c>
      <c r="G123" s="53"/>
      <c r="H123" s="8" t="str">
        <f>FonemaPT(A123)</f>
        <v>ALO</v>
      </c>
      <c r="I123" s="53"/>
    </row>
    <row r="124" spans="1:9" ht="18.75" customHeight="1" x14ac:dyDescent="0.3">
      <c r="A124" s="4" t="s">
        <v>82</v>
      </c>
      <c r="B124" s="8" t="str">
        <f>BuscaFoneticaBR(A124)</f>
        <v>ARO</v>
      </c>
      <c r="C124" s="53"/>
      <c r="D124" s="15" t="str">
        <f>FonemaPT(A124,1)</f>
        <v>L</v>
      </c>
      <c r="E124" s="53"/>
      <c r="F124" s="8" t="str">
        <f>RSOUNDEX(A124)</f>
        <v>H62</v>
      </c>
      <c r="G124" s="53"/>
      <c r="H124" s="8" t="str">
        <f>FonemaPT(A124)</f>
        <v>HALO</v>
      </c>
      <c r="I124" s="53"/>
    </row>
    <row r="125" spans="1:9" ht="23.25" x14ac:dyDescent="0.3">
      <c r="A125" s="4"/>
      <c r="B125" s="8"/>
      <c r="C125" s="5"/>
      <c r="D125" s="15"/>
      <c r="F125" s="8"/>
      <c r="H125" s="8"/>
    </row>
    <row r="126" spans="1:9" ht="18.75" customHeight="1" x14ac:dyDescent="0.3">
      <c r="A126" s="6" t="s">
        <v>83</v>
      </c>
      <c r="B126" s="8" t="str">
        <f t="shared" ref="B126:B137" si="1">BuscaFoneticaBR(A126)</f>
        <v>ESESA</v>
      </c>
      <c r="C126" s="53" t="str">
        <f>IF(AND(B126=B127,B126=B128,B126=B129,B126=B130,B126=B131,B126=B132,B126=B133,B126=B134,B126=B135,B126=B136,B126=B137),"Iguais","Diferentes")</f>
        <v>Iguais</v>
      </c>
      <c r="D126" s="15" t="str">
        <f t="shared" ref="D126:D137" si="2">FonemaPT(A126,1)</f>
        <v>S</v>
      </c>
      <c r="E126" s="53" t="str">
        <f>IF(AND(D126=D127,D126=D128,D126=D129,D126=D130,D126=D131,D126=D132,D126=D133,D126=D134,D126=D135,D126=D136,D126=D137),"Iguais","Diferentes")</f>
        <v>Iguais</v>
      </c>
      <c r="F126" s="8" t="str">
        <f t="shared" ref="F126:F137" si="3">RSOUNDEX(A126)</f>
        <v>E2</v>
      </c>
      <c r="G126" s="53" t="str">
        <f>IF(AND(F126=F127,F126=F128,F126=F129,F126=F130,F126=F131,F126=F132,F126=F133,F126=F134,F126=F135,F126=F136,F126=F137),"Iguais","Diferentes")</f>
        <v>Diferentes</v>
      </c>
      <c r="H126" s="8" t="str">
        <f t="shared" ref="H126:H137" si="4">FonemaPT(A126)</f>
        <v>ESES</v>
      </c>
      <c r="I126" s="53" t="str">
        <f>IF(AND(H126=H127,H126=H128,H126=H129,H126=H130,H126=H131,H126=H132,H126=H133,H126=H134,H126=H135,H126=H136,H126=H137),"Iguais","Diferentes")</f>
        <v>Iguais</v>
      </c>
    </row>
    <row r="127" spans="1:9" ht="18.75" customHeight="1" x14ac:dyDescent="0.3">
      <c r="A127" s="4" t="s">
        <v>83</v>
      </c>
      <c r="B127" s="8" t="str">
        <f t="shared" si="1"/>
        <v>ESESA</v>
      </c>
      <c r="C127" s="53"/>
      <c r="D127" s="15" t="str">
        <f t="shared" si="2"/>
        <v>S</v>
      </c>
      <c r="E127" s="53"/>
      <c r="F127" s="8" t="str">
        <f t="shared" si="3"/>
        <v>E2</v>
      </c>
      <c r="G127" s="53"/>
      <c r="H127" s="8" t="str">
        <f t="shared" si="4"/>
        <v>ESES</v>
      </c>
      <c r="I127" s="53"/>
    </row>
    <row r="128" spans="1:9" ht="18.75" customHeight="1" x14ac:dyDescent="0.3">
      <c r="A128" s="4" t="s">
        <v>84</v>
      </c>
      <c r="B128" s="8" t="str">
        <f t="shared" si="1"/>
        <v>ESESA</v>
      </c>
      <c r="C128" s="53"/>
      <c r="D128" s="15" t="str">
        <f t="shared" si="2"/>
        <v>S</v>
      </c>
      <c r="E128" s="53"/>
      <c r="F128" s="8" t="str">
        <f t="shared" si="3"/>
        <v>E22</v>
      </c>
      <c r="G128" s="53"/>
      <c r="H128" s="8" t="str">
        <f t="shared" si="4"/>
        <v>ESES</v>
      </c>
      <c r="I128" s="53"/>
    </row>
    <row r="129" spans="1:9" ht="18.75" customHeight="1" x14ac:dyDescent="0.3">
      <c r="A129" s="4" t="s">
        <v>85</v>
      </c>
      <c r="B129" s="8" t="str">
        <f t="shared" si="1"/>
        <v>ESESA</v>
      </c>
      <c r="C129" s="53"/>
      <c r="D129" s="15" t="str">
        <f t="shared" si="2"/>
        <v>S</v>
      </c>
      <c r="E129" s="53"/>
      <c r="F129" s="8" t="str">
        <f t="shared" si="3"/>
        <v>E2</v>
      </c>
      <c r="G129" s="53"/>
      <c r="H129" s="8" t="str">
        <f t="shared" si="4"/>
        <v>ESES</v>
      </c>
      <c r="I129" s="53"/>
    </row>
    <row r="130" spans="1:9" ht="18.75" customHeight="1" x14ac:dyDescent="0.3">
      <c r="A130" s="4" t="s">
        <v>86</v>
      </c>
      <c r="B130" s="8" t="str">
        <f t="shared" si="1"/>
        <v>ESESA</v>
      </c>
      <c r="C130" s="53"/>
      <c r="D130" s="15" t="str">
        <f t="shared" si="2"/>
        <v>S</v>
      </c>
      <c r="E130" s="53"/>
      <c r="F130" s="8" t="str">
        <f t="shared" si="3"/>
        <v>E2</v>
      </c>
      <c r="G130" s="53"/>
      <c r="H130" s="8" t="str">
        <f t="shared" si="4"/>
        <v>ESES</v>
      </c>
      <c r="I130" s="53"/>
    </row>
    <row r="131" spans="1:9" ht="18.75" customHeight="1" x14ac:dyDescent="0.3">
      <c r="A131" s="4" t="s">
        <v>87</v>
      </c>
      <c r="B131" s="8" t="str">
        <f t="shared" si="1"/>
        <v>ESESA</v>
      </c>
      <c r="C131" s="53"/>
      <c r="D131" s="15" t="str">
        <f t="shared" si="2"/>
        <v>S</v>
      </c>
      <c r="E131" s="53"/>
      <c r="F131" s="8" t="str">
        <f t="shared" si="3"/>
        <v>E2</v>
      </c>
      <c r="G131" s="53"/>
      <c r="H131" s="8" t="str">
        <f t="shared" si="4"/>
        <v>ESES</v>
      </c>
      <c r="I131" s="53"/>
    </row>
    <row r="132" spans="1:9" ht="18.75" customHeight="1" x14ac:dyDescent="0.3">
      <c r="A132" s="4" t="s">
        <v>87</v>
      </c>
      <c r="B132" s="8" t="str">
        <f t="shared" si="1"/>
        <v>ESESA</v>
      </c>
      <c r="C132" s="53"/>
      <c r="D132" s="15" t="str">
        <f t="shared" si="2"/>
        <v>S</v>
      </c>
      <c r="E132" s="53"/>
      <c r="F132" s="8" t="str">
        <f t="shared" si="3"/>
        <v>E2</v>
      </c>
      <c r="G132" s="53"/>
      <c r="H132" s="8" t="str">
        <f t="shared" si="4"/>
        <v>ESES</v>
      </c>
      <c r="I132" s="53"/>
    </row>
    <row r="133" spans="1:9" ht="18.75" customHeight="1" x14ac:dyDescent="0.3">
      <c r="A133" s="4" t="s">
        <v>88</v>
      </c>
      <c r="B133" s="8" t="str">
        <f t="shared" si="1"/>
        <v>ESESA</v>
      </c>
      <c r="C133" s="53"/>
      <c r="D133" s="15" t="str">
        <f t="shared" si="2"/>
        <v>S</v>
      </c>
      <c r="E133" s="53"/>
      <c r="F133" s="8" t="str">
        <f t="shared" si="3"/>
        <v>E22</v>
      </c>
      <c r="G133" s="53"/>
      <c r="H133" s="8" t="str">
        <f t="shared" si="4"/>
        <v>ESES</v>
      </c>
      <c r="I133" s="53"/>
    </row>
    <row r="134" spans="1:9" ht="18.75" customHeight="1" x14ac:dyDescent="0.3">
      <c r="A134" s="4" t="s">
        <v>89</v>
      </c>
      <c r="B134" s="8" t="str">
        <f t="shared" si="1"/>
        <v>ESESA</v>
      </c>
      <c r="C134" s="53"/>
      <c r="D134" s="15" t="str">
        <f t="shared" si="2"/>
        <v>S</v>
      </c>
      <c r="E134" s="53"/>
      <c r="F134" s="8" t="str">
        <f t="shared" si="3"/>
        <v>E22</v>
      </c>
      <c r="G134" s="53"/>
      <c r="H134" s="8" t="str">
        <f t="shared" si="4"/>
        <v>ESES</v>
      </c>
      <c r="I134" s="53"/>
    </row>
    <row r="135" spans="1:9" ht="18.75" customHeight="1" x14ac:dyDescent="0.3">
      <c r="A135" s="4" t="s">
        <v>89</v>
      </c>
      <c r="B135" s="8" t="str">
        <f t="shared" si="1"/>
        <v>ESESA</v>
      </c>
      <c r="C135" s="53"/>
      <c r="D135" s="15" t="str">
        <f t="shared" si="2"/>
        <v>S</v>
      </c>
      <c r="E135" s="53"/>
      <c r="F135" s="8" t="str">
        <f t="shared" si="3"/>
        <v>E22</v>
      </c>
      <c r="G135" s="53"/>
      <c r="H135" s="8" t="str">
        <f t="shared" si="4"/>
        <v>ESES</v>
      </c>
      <c r="I135" s="53"/>
    </row>
    <row r="136" spans="1:9" ht="18.75" customHeight="1" x14ac:dyDescent="0.3">
      <c r="A136" s="4" t="s">
        <v>90</v>
      </c>
      <c r="B136" s="8" t="str">
        <f t="shared" si="1"/>
        <v>ESESA</v>
      </c>
      <c r="C136" s="53"/>
      <c r="D136" s="15" t="str">
        <f t="shared" si="2"/>
        <v>S</v>
      </c>
      <c r="E136" s="53"/>
      <c r="F136" s="8" t="str">
        <f t="shared" si="3"/>
        <v>E22</v>
      </c>
      <c r="G136" s="53"/>
      <c r="H136" s="8" t="str">
        <f t="shared" si="4"/>
        <v>ESES</v>
      </c>
      <c r="I136" s="53"/>
    </row>
    <row r="137" spans="1:9" ht="18.75" customHeight="1" x14ac:dyDescent="0.3">
      <c r="A137" s="4" t="s">
        <v>91</v>
      </c>
      <c r="B137" s="8" t="str">
        <f t="shared" si="1"/>
        <v>ESESA</v>
      </c>
      <c r="C137" s="53"/>
      <c r="D137" s="15" t="str">
        <f t="shared" si="2"/>
        <v>S</v>
      </c>
      <c r="E137" s="53"/>
      <c r="F137" s="8" t="str">
        <f t="shared" si="3"/>
        <v>E2</v>
      </c>
      <c r="G137" s="53"/>
      <c r="H137" s="8" t="str">
        <f t="shared" si="4"/>
        <v>ESES</v>
      </c>
      <c r="I137" s="53"/>
    </row>
    <row r="138" spans="1:9" ht="18.75" x14ac:dyDescent="0.3">
      <c r="A138" s="4"/>
      <c r="B138" s="8"/>
      <c r="C138" s="4"/>
      <c r="D138" s="15"/>
      <c r="F138" s="8"/>
      <c r="H138" s="8"/>
    </row>
    <row r="139" spans="1:9" ht="18.75" customHeight="1" x14ac:dyDescent="0.3">
      <c r="A139" s="4" t="s">
        <v>92</v>
      </c>
      <c r="B139" s="8" t="str">
        <f>BuscaFoneticaBR(A139)</f>
        <v>MARKO</v>
      </c>
      <c r="C139" s="53" t="str">
        <f>IF(AND(B139=B140,B139=B141,B140=B141),"Iguais","Diferentes")</f>
        <v>Iguais</v>
      </c>
      <c r="D139" s="15" t="str">
        <f>FonemaPT(A139,1)</f>
        <v>MLK</v>
      </c>
      <c r="E139" s="53" t="str">
        <f>IF(AND(D139=D140,D139=D141,D140=D141),"Iguais","Diferentes")</f>
        <v>Iguais</v>
      </c>
      <c r="F139" s="8" t="str">
        <f>RSOUNDEX(A139)</f>
        <v>M622</v>
      </c>
      <c r="G139" s="53" t="str">
        <f>IF(AND(F139=F140,F139=F141,F140=F141),"Iguais","Diferentes")</f>
        <v>Diferentes</v>
      </c>
      <c r="H139" s="8" t="str">
        <f>FonemaPT(A139)</f>
        <v>MALK</v>
      </c>
      <c r="I139" s="53" t="str">
        <f>IF(AND(H139=H140,H139=H141,H140=H141),"Iguais","Diferentes")</f>
        <v>Iguais</v>
      </c>
    </row>
    <row r="140" spans="1:9" ht="18.75" customHeight="1" x14ac:dyDescent="0.3">
      <c r="A140" s="4" t="s">
        <v>93</v>
      </c>
      <c r="B140" s="8" t="str">
        <f>BuscaFoneticaBR(A140)</f>
        <v>MARKO</v>
      </c>
      <c r="C140" s="53"/>
      <c r="D140" s="15" t="str">
        <f>FonemaPT(A140,1)</f>
        <v>MLK</v>
      </c>
      <c r="E140" s="53"/>
      <c r="F140" s="8" t="str">
        <f>RSOUNDEX(A140)</f>
        <v>M62</v>
      </c>
      <c r="G140" s="53"/>
      <c r="H140" s="8" t="str">
        <f>FonemaPT(A140)</f>
        <v>MALK</v>
      </c>
      <c r="I140" s="53"/>
    </row>
    <row r="141" spans="1:9" ht="18.75" customHeight="1" x14ac:dyDescent="0.3">
      <c r="A141" s="4" t="s">
        <v>94</v>
      </c>
      <c r="B141" s="8" t="str">
        <f>BuscaFoneticaBR(A141)</f>
        <v>MARKO</v>
      </c>
      <c r="C141" s="53"/>
      <c r="D141" s="15" t="str">
        <f>FonemaPT(A141,1)</f>
        <v>MLK</v>
      </c>
      <c r="E141" s="53"/>
      <c r="F141" s="8" t="str">
        <f>RSOUNDEX(A141)</f>
        <v>M622</v>
      </c>
      <c r="G141" s="53"/>
      <c r="H141" s="8" t="str">
        <f>FonemaPT(A141)</f>
        <v>MALK</v>
      </c>
      <c r="I141" s="53"/>
    </row>
    <row r="142" spans="1:9" ht="18.75" x14ac:dyDescent="0.3">
      <c r="A142" s="4"/>
      <c r="B142" s="8"/>
      <c r="C142" s="4"/>
      <c r="D142" s="15"/>
      <c r="F142" s="8"/>
      <c r="H142" s="8"/>
    </row>
    <row r="143" spans="1:9" ht="18.75" customHeight="1" x14ac:dyDescent="0.3">
      <c r="A143" s="4" t="s">
        <v>95</v>
      </c>
      <c r="B143" s="8" t="str">
        <f>BuscaFoneticaBR(A143)</f>
        <v>MARKETE</v>
      </c>
      <c r="C143" s="53" t="str">
        <f>IF(B143=B144,"Iguais","Diferentes")</f>
        <v>Iguais</v>
      </c>
      <c r="D143" s="15" t="str">
        <f>FonemaPT(A143,1)</f>
        <v>MLKT</v>
      </c>
      <c r="E143" s="53" t="str">
        <f>IF(D143=D144,"Iguais","Diferentes")</f>
        <v>Iguais</v>
      </c>
      <c r="F143" s="8" t="str">
        <f>RSOUNDEX(A143)</f>
        <v>M623</v>
      </c>
      <c r="G143" s="53" t="str">
        <f>IF(F143=F144,"Iguais","Diferentes")</f>
        <v>Iguais</v>
      </c>
      <c r="H143" s="8" t="str">
        <f>FonemaPT(A143)</f>
        <v>MALKUETE</v>
      </c>
      <c r="I143" s="53" t="str">
        <f>IF(H143=H144,"Iguais","Diferentes")</f>
        <v>Diferentes</v>
      </c>
    </row>
    <row r="144" spans="1:9" ht="18.75" customHeight="1" x14ac:dyDescent="0.3">
      <c r="A144" s="4" t="s">
        <v>96</v>
      </c>
      <c r="B144" s="8" t="str">
        <f>BuscaFoneticaBR(A144)</f>
        <v>MARKETE</v>
      </c>
      <c r="C144" s="53"/>
      <c r="D144" s="15" t="str">
        <f>FonemaPT(A144,1)</f>
        <v>MLKT</v>
      </c>
      <c r="E144" s="53"/>
      <c r="F144" s="8" t="str">
        <f>RSOUNDEX(A144)</f>
        <v>M623</v>
      </c>
      <c r="G144" s="53"/>
      <c r="H144" s="8" t="str">
        <f>FonemaPT(A144)</f>
        <v>MALKUETI</v>
      </c>
      <c r="I144" s="53"/>
    </row>
    <row r="145" spans="1:9" ht="18.75" x14ac:dyDescent="0.3">
      <c r="A145" s="4"/>
      <c r="B145" s="8"/>
      <c r="C145" s="4"/>
      <c r="D145" s="15"/>
      <c r="F145" s="8"/>
      <c r="H145" s="8"/>
    </row>
    <row r="146" spans="1:9" ht="18.75" customHeight="1" x14ac:dyDescent="0.3">
      <c r="A146" s="4" t="s">
        <v>97</v>
      </c>
      <c r="B146" s="8" t="str">
        <f>BuscaFoneticaBR(A146)</f>
        <v>JOSE</v>
      </c>
      <c r="C146" s="53" t="str">
        <f>IF(AND(B146=B147,B146=B148,B147=B148),"Iguais","Diferentes")</f>
        <v>Iguais</v>
      </c>
      <c r="D146" s="15" t="str">
        <f>FonemaPT(A146,1)</f>
        <v>JS</v>
      </c>
      <c r="E146" s="53" t="str">
        <f>IF(AND(D146=D147,D146=D148,D147=D148),"Iguais","Diferentes")</f>
        <v>Iguais</v>
      </c>
      <c r="F146" s="8" t="str">
        <f>RSOUNDEX(A146)</f>
        <v>J2</v>
      </c>
      <c r="G146" s="53" t="str">
        <f>IF(AND(F146=F147,F146=F148,F147=F148),"Iguais","Diferentes")</f>
        <v>Iguais</v>
      </c>
      <c r="H146" s="8" t="str">
        <f>FonemaPT(A146)</f>
        <v>JOSE</v>
      </c>
      <c r="I146" s="53" t="str">
        <f>IF(AND(H146=H147,H146=H148,H147=H148),"Iguais","Diferentes")</f>
        <v>Diferentes</v>
      </c>
    </row>
    <row r="147" spans="1:9" ht="18.75" customHeight="1" x14ac:dyDescent="0.3">
      <c r="A147" s="4" t="s">
        <v>98</v>
      </c>
      <c r="B147" s="8" t="str">
        <f>BuscaFoneticaBR(A147)</f>
        <v>JOSE</v>
      </c>
      <c r="C147" s="53"/>
      <c r="D147" s="15" t="str">
        <f>FonemaPT(A147,1)</f>
        <v>JS</v>
      </c>
      <c r="E147" s="53"/>
      <c r="F147" s="8" t="str">
        <f>RSOUNDEX(A147)</f>
        <v>J2</v>
      </c>
      <c r="G147" s="53"/>
      <c r="H147" s="8" t="str">
        <f>FonemaPT(A147)</f>
        <v>JOSI</v>
      </c>
      <c r="I147" s="53"/>
    </row>
    <row r="148" spans="1:9" ht="18.75" customHeight="1" x14ac:dyDescent="0.3">
      <c r="A148" s="4" t="s">
        <v>99</v>
      </c>
      <c r="B148" s="8" t="str">
        <f>BuscaFoneticaBR(A148)</f>
        <v>JOSE</v>
      </c>
      <c r="C148" s="53"/>
      <c r="D148" s="15" t="str">
        <f>FonemaPT(A148,1)</f>
        <v>JS</v>
      </c>
      <c r="E148" s="53"/>
      <c r="F148" s="8" t="str">
        <f>RSOUNDEX(A148)</f>
        <v>J2</v>
      </c>
      <c r="G148" s="53"/>
      <c r="H148" s="8" t="str">
        <f>FonemaPT(A148)</f>
        <v>JHOSE</v>
      </c>
      <c r="I148" s="53"/>
    </row>
    <row r="149" spans="1:9" ht="18.75" x14ac:dyDescent="0.3">
      <c r="A149" s="4"/>
      <c r="B149" s="8"/>
      <c r="C149" s="4"/>
      <c r="D149" s="15"/>
      <c r="F149" s="8"/>
      <c r="H149" s="8"/>
    </row>
    <row r="150" spans="1:9" ht="18.75" customHeight="1" x14ac:dyDescent="0.3">
      <c r="A150" s="4" t="s">
        <v>100</v>
      </c>
      <c r="B150" s="8" t="str">
        <f>BuscaFoneticaBR(A150)</f>
        <v>JOSEFA</v>
      </c>
      <c r="C150" s="53" t="str">
        <f>IF(AND(B150=B151,B150=B152,B151=B152),"Iguais","Diferentes")</f>
        <v>Iguais</v>
      </c>
      <c r="D150" s="15" t="str">
        <f>FonemaPT(A150,1)</f>
        <v>JSF</v>
      </c>
      <c r="E150" s="53" t="str">
        <f>IF(AND(D150=D151,D150=D152,D151=D152),"Iguais","Diferentes")</f>
        <v>Iguais</v>
      </c>
      <c r="F150" s="8" t="str">
        <f>RSOUNDEX(A150)</f>
        <v>J21</v>
      </c>
      <c r="G150" s="53" t="str">
        <f>IF(AND(F150=F151,F150=F152,F151=F152),"Iguais","Diferentes")</f>
        <v>Iguais</v>
      </c>
      <c r="H150" s="8" t="str">
        <f>FonemaPT(A150)</f>
        <v>JOSEFA</v>
      </c>
      <c r="I150" s="53" t="str">
        <f>IF(AND(H150=H151,H150=H152,H151=H152),"Iguais","Diferentes")</f>
        <v>Diferentes</v>
      </c>
    </row>
    <row r="151" spans="1:9" ht="18.75" customHeight="1" x14ac:dyDescent="0.3">
      <c r="A151" s="4" t="s">
        <v>101</v>
      </c>
      <c r="B151" s="8" t="str">
        <f>BuscaFoneticaBR(A151)</f>
        <v>JOSEFA</v>
      </c>
      <c r="C151" s="53"/>
      <c r="D151" s="15" t="str">
        <f>FonemaPT(A151,1)</f>
        <v>JSF</v>
      </c>
      <c r="E151" s="53"/>
      <c r="F151" s="8" t="str">
        <f>RSOUNDEX(A151)</f>
        <v>J21</v>
      </c>
      <c r="G151" s="53"/>
      <c r="H151" s="8" t="str">
        <f>FonemaPT(A151)</f>
        <v>JOSEFA</v>
      </c>
      <c r="I151" s="53"/>
    </row>
    <row r="152" spans="1:9" ht="18.75" customHeight="1" x14ac:dyDescent="0.3">
      <c r="A152" s="4" t="s">
        <v>102</v>
      </c>
      <c r="B152" s="8" t="str">
        <f>BuscaFoneticaBR(A152)</f>
        <v>JOSEFA</v>
      </c>
      <c r="C152" s="53"/>
      <c r="D152" s="15" t="str">
        <f>FonemaPT(A152,1)</f>
        <v>JSF</v>
      </c>
      <c r="E152" s="53"/>
      <c r="F152" s="8" t="str">
        <f>RSOUNDEX(A152)</f>
        <v>J21</v>
      </c>
      <c r="G152" s="53"/>
      <c r="H152" s="8" t="str">
        <f>FonemaPT(A152)</f>
        <v>JHOSEFA</v>
      </c>
      <c r="I152" s="53"/>
    </row>
    <row r="153" spans="1:9" ht="15.75" x14ac:dyDescent="0.25">
      <c r="B153" s="8"/>
      <c r="D153" s="15"/>
      <c r="F153" s="8"/>
      <c r="H153" s="8"/>
    </row>
    <row r="154" spans="1:9" ht="18.75" customHeight="1" x14ac:dyDescent="0.3">
      <c r="A154" s="4" t="s">
        <v>103</v>
      </c>
      <c r="B154" s="8" t="str">
        <f>BuscaFoneticaBR(A154)</f>
        <v>ATOMEO SEOVEMO SOAME</v>
      </c>
      <c r="C154" s="53" t="str">
        <f>IF(B154=B155,"Iguais","Diferentes")</f>
        <v>Iguais</v>
      </c>
      <c r="D154" s="15" t="str">
        <f>FonemaPT(A154,1)</f>
        <v>MTM SLVM SM</v>
      </c>
      <c r="E154" s="53" t="str">
        <f>IF(D154=D155,"Iguais","Diferentes")</f>
        <v>Iguais</v>
      </c>
      <c r="F154" s="8" t="str">
        <f>RSOUNDEX(A154)</f>
        <v>A535</v>
      </c>
      <c r="G154" s="53" t="str">
        <f>IF(F154=F155,"Iguais","Diferentes")</f>
        <v>Iguais</v>
      </c>
      <c r="H154" s="8" t="str">
        <f>FonemaPT(A154)</f>
        <v>AMTOMIO SILVIMHO SUAME</v>
      </c>
      <c r="I154" s="53" t="str">
        <f>IF(H154=H155,"Iguais","Diferentes")</f>
        <v>Diferentes</v>
      </c>
    </row>
    <row r="155" spans="1:9" ht="18.75" customHeight="1" x14ac:dyDescent="0.3">
      <c r="A155" s="4" t="s">
        <v>104</v>
      </c>
      <c r="B155" s="8" t="str">
        <f>BuscaFoneticaBR(A155)</f>
        <v>ATOMEO SEOVEMO SOAME</v>
      </c>
      <c r="C155" s="53"/>
      <c r="D155" s="15" t="str">
        <f>FonemaPT(A155,1)</f>
        <v>MTM SLVM SM</v>
      </c>
      <c r="E155" s="53"/>
      <c r="F155" s="8" t="str">
        <f>RSOUNDEX(A155)</f>
        <v>A535</v>
      </c>
      <c r="G155" s="53"/>
      <c r="H155" s="8" t="str">
        <f>FonemaPT(A155)</f>
        <v>AMTOMIO SILVIMO SUAME</v>
      </c>
      <c r="I155" s="53"/>
    </row>
    <row r="156" spans="1:9" ht="18.75" x14ac:dyDescent="0.3">
      <c r="A156" s="4"/>
      <c r="B156" s="8"/>
      <c r="D156" s="15"/>
      <c r="F156" s="8"/>
      <c r="H156" s="8"/>
    </row>
    <row r="157" spans="1:9" ht="18.75" customHeight="1" x14ac:dyDescent="0.3">
      <c r="A157" s="4" t="s">
        <v>105</v>
      </c>
      <c r="B157" s="8" t="str">
        <f>BuscaFoneticaBR(A157)</f>
        <v>AMEREKO VEMEKE</v>
      </c>
      <c r="C157" s="53" t="str">
        <f>IF(AND(B157=B158,B157=B159,B158=B159),"Iguais","Diferentes")</f>
        <v>Iguais</v>
      </c>
      <c r="D157" s="15" t="str">
        <f>FonemaPT(A157,1)</f>
        <v>MLK VMCK</v>
      </c>
      <c r="E157" s="53" t="str">
        <f>IF(AND(D157=D158,D157=D159,D158=D159),"Iguais","Diferentes")</f>
        <v>Diferentes</v>
      </c>
      <c r="F157" s="8" t="str">
        <f>RSOUNDEX(A157)</f>
        <v>A562</v>
      </c>
      <c r="G157" s="53" t="str">
        <f>IF(AND(F157=F158,F157=F159,F158=F159),"Iguais","Diferentes")</f>
        <v>Iguais</v>
      </c>
      <c r="H157" s="8" t="str">
        <f>FonemaPT(A157)</f>
        <v>AMELIK VEMECK</v>
      </c>
      <c r="I157" s="53" t="str">
        <f>IF(AND(H157=H158,H157=H159,H158=H159),"Iguais","Diferentes")</f>
        <v>Diferentes</v>
      </c>
    </row>
    <row r="158" spans="1:9" ht="18.75" customHeight="1" x14ac:dyDescent="0.3">
      <c r="A158" s="4" t="s">
        <v>106</v>
      </c>
      <c r="B158" s="8" t="str">
        <f>BuscaFoneticaBR(A158)</f>
        <v>AMEREKO VEMEKE</v>
      </c>
      <c r="C158" s="53"/>
      <c r="D158" s="15" t="str">
        <f>FonemaPT(A158,1)</f>
        <v>MLK VMC</v>
      </c>
      <c r="E158" s="53"/>
      <c r="F158" s="8" t="str">
        <f>RSOUNDEX(A158)</f>
        <v>A562</v>
      </c>
      <c r="G158" s="53"/>
      <c r="H158" s="8" t="str">
        <f>FonemaPT(A158)</f>
        <v>AMELIK VEMEC</v>
      </c>
      <c r="I158" s="53"/>
    </row>
    <row r="159" spans="1:9" ht="18.75" customHeight="1" x14ac:dyDescent="0.3">
      <c r="A159" s="4" t="s">
        <v>254</v>
      </c>
      <c r="B159" s="8" t="str">
        <f>BuscaFoneticaBR(A159)</f>
        <v>AMEREKO VEMEKE</v>
      </c>
      <c r="C159" s="53"/>
      <c r="D159" s="15" t="str">
        <f>FonemaPT(A159,1)</f>
        <v>MLK VMK</v>
      </c>
      <c r="E159" s="53"/>
      <c r="F159" s="8" t="str">
        <f>RSOUNDEX(A159)</f>
        <v>A562</v>
      </c>
      <c r="G159" s="53"/>
      <c r="H159" s="8" t="str">
        <f>FonemaPT(A159)</f>
        <v>AMELIK VEMEKUE</v>
      </c>
      <c r="I159" s="53"/>
    </row>
    <row r="160" spans="1:9" ht="18.75" x14ac:dyDescent="0.3">
      <c r="A160" s="4"/>
      <c r="B160" s="8"/>
      <c r="D160" s="15"/>
      <c r="F160" s="8"/>
      <c r="H160" s="8"/>
    </row>
    <row r="161" spans="1:9" ht="18.75" customHeight="1" x14ac:dyDescent="0.3">
      <c r="A161" s="4" t="s">
        <v>107</v>
      </c>
      <c r="B161" s="8" t="str">
        <f>BuscaFoneticaBR(A161)</f>
        <v>BEOKEO PERE</v>
      </c>
      <c r="C161" s="53" t="str">
        <f>IF(B161=B162,"Iguais","Diferentes")</f>
        <v>Iguais</v>
      </c>
      <c r="D161" s="15" t="str">
        <f>FonemaPT(A161,1)</f>
        <v>BLC PL</v>
      </c>
      <c r="E161" s="53" t="str">
        <f>IF(D161=D162,"Iguais","Diferentes")</f>
        <v>Diferentes</v>
      </c>
      <c r="F161" s="8" t="str">
        <f>RSOUNDEX(A161)</f>
        <v>B426</v>
      </c>
      <c r="G161" s="53" t="str">
        <f>IF(F161=F162,"Iguais","Diferentes")</f>
        <v>Iguais</v>
      </c>
      <c r="H161" s="8" t="str">
        <f>FonemaPT(A161)</f>
        <v>BELCHIO PILE</v>
      </c>
      <c r="I161" s="53" t="str">
        <f>IF(H161=H162,"Iguais","Diferentes")</f>
        <v>Diferentes</v>
      </c>
    </row>
    <row r="162" spans="1:9" ht="18.75" customHeight="1" x14ac:dyDescent="0.3">
      <c r="A162" s="4" t="s">
        <v>108</v>
      </c>
      <c r="B162" s="8" t="str">
        <f>BuscaFoneticaBR(A162)</f>
        <v>BEOKEO PERE</v>
      </c>
      <c r="C162" s="53"/>
      <c r="D162" s="15" t="str">
        <f>FonemaPT(A162,1)</f>
        <v>BLK PL</v>
      </c>
      <c r="E162" s="53"/>
      <c r="F162" s="8" t="str">
        <f>RSOUNDEX(A162)</f>
        <v>B426</v>
      </c>
      <c r="G162" s="53"/>
      <c r="H162" s="8" t="str">
        <f>FonemaPT(A162)</f>
        <v>BELKUIO PILE</v>
      </c>
      <c r="I162" s="53"/>
    </row>
    <row r="163" spans="1:9" ht="18.75" x14ac:dyDescent="0.3">
      <c r="A163" s="4"/>
      <c r="B163" s="8"/>
      <c r="D163" s="15"/>
      <c r="F163" s="8"/>
      <c r="H163" s="8"/>
    </row>
    <row r="164" spans="1:9" ht="18.75" customHeight="1" x14ac:dyDescent="0.3">
      <c r="A164" s="4" t="s">
        <v>110</v>
      </c>
      <c r="B164" s="8" t="str">
        <f>BuscaFoneticaBR(A164)</f>
        <v>GORA</v>
      </c>
      <c r="C164" s="53" t="str">
        <f>IF(B164=B165,"Iguais","Diferentes")</f>
        <v>Iguais</v>
      </c>
      <c r="D164" s="15" t="str">
        <f>FonemaPT(A164,1)</f>
        <v>GLT</v>
      </c>
      <c r="E164" s="53" t="str">
        <f>IF(D164=D165,"Iguais","Diferentes")</f>
        <v>Diferentes</v>
      </c>
      <c r="F164" s="8" t="str">
        <f>RSOUNDEX(A164)</f>
        <v>G463</v>
      </c>
      <c r="G164" s="53" t="str">
        <f>IF(F164=F165,"Iguais","Diferentes")</f>
        <v>Diferentes</v>
      </c>
      <c r="H164" s="8" t="str">
        <f>FonemaPT(A164)</f>
        <v>GOULAT</v>
      </c>
      <c r="I164" s="53" t="str">
        <f>IF(H164=H165,"Iguais","Diferentes")</f>
        <v>Diferentes</v>
      </c>
    </row>
    <row r="165" spans="1:9" ht="18.75" customHeight="1" x14ac:dyDescent="0.3">
      <c r="A165" s="4" t="s">
        <v>109</v>
      </c>
      <c r="B165" s="8" t="str">
        <f>BuscaFoneticaBR(A165)</f>
        <v>GORA</v>
      </c>
      <c r="C165" s="53"/>
      <c r="D165" s="15" t="str">
        <f>FonemaPT(A165,1)</f>
        <v>GL</v>
      </c>
      <c r="E165" s="53"/>
      <c r="F165" s="8" t="str">
        <f>RSOUNDEX(A165)</f>
        <v>G46</v>
      </c>
      <c r="G165" s="53"/>
      <c r="H165" s="8" t="str">
        <f>FonemaPT(A165)</f>
        <v>GOLA</v>
      </c>
      <c r="I165" s="53"/>
    </row>
    <row r="166" spans="1:9" ht="15.75" x14ac:dyDescent="0.25">
      <c r="B166" s="8"/>
      <c r="D166" s="15"/>
      <c r="F166" s="8"/>
      <c r="H166" s="8"/>
    </row>
    <row r="167" spans="1:9" ht="18.75" customHeight="1" x14ac:dyDescent="0.3">
      <c r="A167" s="4" t="s">
        <v>154</v>
      </c>
      <c r="B167" s="8" t="str">
        <f>BuscaFoneticaBR(A167)</f>
        <v>EVETO</v>
      </c>
      <c r="C167" s="53" t="str">
        <f>IF(B167=B168,"Iguais","Diferentes")</f>
        <v>Iguais</v>
      </c>
      <c r="D167" s="15" t="str">
        <f>FonemaPT(A167,1)</f>
        <v>VT</v>
      </c>
      <c r="E167" s="53" t="str">
        <f>IF(D167=D168,"Iguais","Diferentes")</f>
        <v>Iguais</v>
      </c>
      <c r="F167" s="8" t="str">
        <f>RSOUNDEX(A167)</f>
        <v>E635</v>
      </c>
      <c r="G167" s="53" t="str">
        <f>IF(F167=F168,"Iguais","Diferentes")</f>
        <v>Diferentes</v>
      </c>
      <c r="H167" s="8" t="str">
        <f>FonemaPT(A167)</f>
        <v>EVETHO</v>
      </c>
      <c r="I167" s="53" t="str">
        <f>IF(H167=H168,"Iguais","Diferentes")</f>
        <v>Diferentes</v>
      </c>
    </row>
    <row r="168" spans="1:9" ht="18.75" customHeight="1" x14ac:dyDescent="0.3">
      <c r="A168" s="4" t="s">
        <v>155</v>
      </c>
      <c r="B168" s="8" t="str">
        <f>BuscaFoneticaBR(A168)</f>
        <v>EVETO</v>
      </c>
      <c r="C168" s="53"/>
      <c r="D168" s="15" t="str">
        <f>FonemaPT(A168,1)</f>
        <v>VT</v>
      </c>
      <c r="E168" s="53"/>
      <c r="F168" s="8" t="str">
        <f>RSOUNDEX(A168)</f>
        <v>E163</v>
      </c>
      <c r="G168" s="53"/>
      <c r="H168" s="8" t="str">
        <f>FonemaPT(A168)</f>
        <v>EVETO</v>
      </c>
      <c r="I168" s="53"/>
    </row>
    <row r="169" spans="1:9" ht="18.75" x14ac:dyDescent="0.3">
      <c r="A169" s="4"/>
      <c r="B169" s="8"/>
      <c r="D169" s="15"/>
      <c r="F169" s="8"/>
      <c r="H169" s="8"/>
    </row>
    <row r="170" spans="1:9" ht="18.75" customHeight="1" x14ac:dyDescent="0.3">
      <c r="A170" s="4" t="s">
        <v>120</v>
      </c>
      <c r="B170" s="8" t="str">
        <f>BuscaFoneticaBR(A170)</f>
        <v>EPOPOTAMO</v>
      </c>
      <c r="C170" s="53" t="str">
        <f>IF(B170=B171,"Iguais","Diferentes")</f>
        <v>Iguais</v>
      </c>
      <c r="D170" s="15" t="str">
        <f>FonemaPT(A170,1)</f>
        <v>PTM</v>
      </c>
      <c r="E170" s="53" t="str">
        <f>IF(D170=D171,"Iguais","Diferentes")</f>
        <v>Iguais</v>
      </c>
      <c r="F170" s="8" t="str">
        <f>RSOUNDEX(A170)</f>
        <v>H113</v>
      </c>
      <c r="G170" s="53" t="str">
        <f>IF(F170=F171,"Iguais","Diferentes")</f>
        <v>Diferentes</v>
      </c>
      <c r="H170" s="8" t="str">
        <f>FonemaPT(A170)</f>
        <v>HIPOPOTAMO</v>
      </c>
      <c r="I170" s="53" t="str">
        <f>IF(H170=H171,"Iguais","Diferentes")</f>
        <v>Diferentes</v>
      </c>
    </row>
    <row r="171" spans="1:9" ht="18.75" customHeight="1" x14ac:dyDescent="0.3">
      <c r="A171" s="4" t="s">
        <v>121</v>
      </c>
      <c r="B171" s="8" t="str">
        <f>BuscaFoneticaBR(A171)</f>
        <v>EPOPOTAMO</v>
      </c>
      <c r="C171" s="53"/>
      <c r="D171" s="15" t="str">
        <f>FonemaPT(A171,1)</f>
        <v>PTM</v>
      </c>
      <c r="E171" s="53"/>
      <c r="F171" s="8" t="str">
        <f>RSOUNDEX(A171)</f>
        <v>I113</v>
      </c>
      <c r="G171" s="53"/>
      <c r="H171" s="8" t="str">
        <f>FonemaPT(A171)</f>
        <v>IPOPOTAMO</v>
      </c>
      <c r="I171" s="53"/>
    </row>
    <row r="172" spans="1:9" ht="15.75" x14ac:dyDescent="0.25">
      <c r="B172" s="8"/>
      <c r="D172" s="15"/>
      <c r="F172" s="8"/>
      <c r="H172" s="8"/>
    </row>
    <row r="173" spans="1:9" ht="18.75" customHeight="1" x14ac:dyDescent="0.3">
      <c r="A173" s="4" t="s">
        <v>122</v>
      </c>
      <c r="B173" s="8" t="str">
        <f>BuscaFoneticaBR(A173)</f>
        <v>ERESE</v>
      </c>
      <c r="C173" s="53" t="str">
        <f>IF(B173=B174,"Iguais","Diferentes")</f>
        <v>Iguais</v>
      </c>
      <c r="D173" s="15" t="str">
        <f>FonemaPT(A173,1)</f>
        <v>LS</v>
      </c>
      <c r="E173" s="53" t="str">
        <f>IF(D173=D174,"Iguais","Diferentes")</f>
        <v>Iguais</v>
      </c>
      <c r="F173" s="8" t="str">
        <f>RSOUNDEX(A173)</f>
        <v>H42</v>
      </c>
      <c r="G173" s="53" t="str">
        <f>IF(F173=F174,"Iguais","Diferentes")</f>
        <v>Diferentes</v>
      </c>
      <c r="H173" s="8" t="str">
        <f>FonemaPT(A173)</f>
        <v>HELISE</v>
      </c>
      <c r="I173" s="53" t="str">
        <f>IF(H173=H174,"Iguais","Diferentes")</f>
        <v>Diferentes</v>
      </c>
    </row>
    <row r="174" spans="1:9" ht="18.75" customHeight="1" x14ac:dyDescent="0.3">
      <c r="A174" s="4" t="s">
        <v>123</v>
      </c>
      <c r="B174" s="8" t="str">
        <f>BuscaFoneticaBR(A174)</f>
        <v>ERESE</v>
      </c>
      <c r="C174" s="53"/>
      <c r="D174" s="15" t="str">
        <f>FonemaPT(A174,1)</f>
        <v>LS</v>
      </c>
      <c r="E174" s="53"/>
      <c r="F174" s="8" t="str">
        <f>RSOUNDEX(A174)</f>
        <v>E42</v>
      </c>
      <c r="G174" s="53"/>
      <c r="H174" s="8" t="str">
        <f>FonemaPT(A174)</f>
        <v>ELISE</v>
      </c>
      <c r="I174" s="53"/>
    </row>
    <row r="175" spans="1:9" ht="15.75" x14ac:dyDescent="0.25">
      <c r="B175" s="8"/>
      <c r="D175" s="15"/>
      <c r="F175" s="8"/>
      <c r="H175" s="8"/>
    </row>
    <row r="176" spans="1:9" ht="15.75" customHeight="1" x14ac:dyDescent="0.25">
      <c r="A176" s="7" t="s">
        <v>124</v>
      </c>
      <c r="B176" s="8" t="str">
        <f>BuscaFoneticaBR(A176)</f>
        <v>EBEDO</v>
      </c>
      <c r="C176" s="53" t="str">
        <f>IF(B176=B177,"Iguais","Diferentes")</f>
        <v>Iguais</v>
      </c>
      <c r="D176" s="15" t="str">
        <f>FonemaPT(A176,1)</f>
        <v>BD</v>
      </c>
      <c r="E176" s="53" t="str">
        <f>IF(D176=D177,"Iguais","Diferentes")</f>
        <v>Iguais</v>
      </c>
      <c r="F176" s="8" t="str">
        <f>RSOUNDEX(A176)</f>
        <v>H163</v>
      </c>
      <c r="G176" s="53" t="str">
        <f>IF(F176=F177,"Iguais","Diferentes")</f>
        <v>Diferentes</v>
      </c>
      <c r="H176" s="8" t="str">
        <f>FonemaPT(A176)</f>
        <v>HIBIDO</v>
      </c>
      <c r="I176" s="53" t="str">
        <f>IF(H176=H177,"Iguais","Diferentes")</f>
        <v>Diferentes</v>
      </c>
    </row>
    <row r="177" spans="1:9" ht="15.75" customHeight="1" x14ac:dyDescent="0.25">
      <c r="A177" s="7" t="s">
        <v>125</v>
      </c>
      <c r="B177" s="8" t="str">
        <f>BuscaFoneticaBR(A177)</f>
        <v>EBEDO</v>
      </c>
      <c r="C177" s="53"/>
      <c r="D177" s="15" t="str">
        <f>FonemaPT(A177,1)</f>
        <v>BD</v>
      </c>
      <c r="E177" s="53"/>
      <c r="F177" s="8" t="str">
        <f>RSOUNDEX(A177)</f>
        <v>I13</v>
      </c>
      <c r="G177" s="53"/>
      <c r="H177" s="8" t="str">
        <f>FonemaPT(A177)</f>
        <v>IBIDO</v>
      </c>
      <c r="I177" s="53"/>
    </row>
    <row r="178" spans="1:9" ht="15.75" x14ac:dyDescent="0.25">
      <c r="B178" s="8"/>
      <c r="D178" s="15"/>
      <c r="F178" s="8"/>
      <c r="H178" s="8"/>
    </row>
    <row r="179" spans="1:9" ht="18.75" customHeight="1" x14ac:dyDescent="0.3">
      <c r="A179" s="4" t="s">
        <v>111</v>
      </c>
      <c r="B179" s="8" t="str">
        <f>BuscaFoneticaBR(A179)</f>
        <v>MATEO</v>
      </c>
      <c r="C179" s="53" t="str">
        <f>IF(B179=B180,"Iguais","Diferentes")</f>
        <v>Iguais</v>
      </c>
      <c r="D179" s="15" t="str">
        <f>FonemaPT(A179,1)</f>
        <v>MT</v>
      </c>
      <c r="E179" s="53" t="str">
        <f>IF(D179=D180,"Iguais","Diferentes")</f>
        <v>Iguais</v>
      </c>
      <c r="F179" s="8" t="str">
        <f>RSOUNDEX(A179)</f>
        <v>M32</v>
      </c>
      <c r="G179" s="53" t="str">
        <f>IF(F179=F180,"Iguais","Diferentes")</f>
        <v>Iguais</v>
      </c>
      <c r="H179" s="8" t="str">
        <f>FonemaPT(A179)</f>
        <v>MATHEU</v>
      </c>
      <c r="I179" s="53" t="str">
        <f>IF(H179=H180,"Iguais","Diferentes")</f>
        <v>Diferentes</v>
      </c>
    </row>
    <row r="180" spans="1:9" ht="18.75" customHeight="1" x14ac:dyDescent="0.3">
      <c r="A180" s="4" t="s">
        <v>112</v>
      </c>
      <c r="B180" s="8" t="str">
        <f>BuscaFoneticaBR(A180)</f>
        <v>MATEO</v>
      </c>
      <c r="C180" s="53"/>
      <c r="D180" s="15" t="str">
        <f>FonemaPT(A180,1)</f>
        <v>MT</v>
      </c>
      <c r="E180" s="53"/>
      <c r="F180" s="8" t="str">
        <f>RSOUNDEX(A180)</f>
        <v>M32</v>
      </c>
      <c r="G180" s="53"/>
      <c r="H180" s="8" t="str">
        <f>FonemaPT(A180)</f>
        <v>MATEU</v>
      </c>
      <c r="I180" s="53"/>
    </row>
    <row r="181" spans="1:9" ht="15.75" x14ac:dyDescent="0.25">
      <c r="B181" s="8"/>
      <c r="D181" s="15"/>
      <c r="F181" s="8"/>
      <c r="H181" s="8"/>
    </row>
    <row r="182" spans="1:9" ht="18.75" customHeight="1" x14ac:dyDescent="0.3">
      <c r="A182" s="4" t="s">
        <v>113</v>
      </c>
      <c r="B182" s="8" t="str">
        <f>BuscaFoneticaBR(A182)</f>
        <v>ABEO</v>
      </c>
      <c r="C182" s="53" t="str">
        <f>IF(B182=B183,"Iguais","Diferentes")</f>
        <v>Iguais</v>
      </c>
      <c r="D182" s="15" t="str">
        <f>FonemaPT(A182,1)</f>
        <v>B</v>
      </c>
      <c r="E182" s="53" t="str">
        <f>IF(D182=D183,"Iguais","Diferentes")</f>
        <v>Iguais</v>
      </c>
      <c r="F182" s="8" t="str">
        <f>RSOUNDEX(A182)</f>
        <v>A14</v>
      </c>
      <c r="G182" s="53" t="str">
        <f>IF(F182=F183,"Iguais","Diferentes")</f>
        <v>Diferentes</v>
      </c>
      <c r="H182" s="8" t="str">
        <f>FonemaPT(A182)</f>
        <v>ABE</v>
      </c>
      <c r="I182" s="53" t="str">
        <f>IF(H182=H183,"Iguais","Diferentes")</f>
        <v>Diferentes</v>
      </c>
    </row>
    <row r="183" spans="1:9" ht="18.75" customHeight="1" x14ac:dyDescent="0.3">
      <c r="A183" s="4" t="s">
        <v>114</v>
      </c>
      <c r="B183" s="8" t="str">
        <f>BuscaFoneticaBR(A183)</f>
        <v>ABEO</v>
      </c>
      <c r="C183" s="53"/>
      <c r="D183" s="15" t="str">
        <f>FonemaPT(A183,1)</f>
        <v>B</v>
      </c>
      <c r="E183" s="53"/>
      <c r="F183" s="8" t="str">
        <f>RSOUNDEX(A183)</f>
        <v>A1</v>
      </c>
      <c r="G183" s="53"/>
      <c r="H183" s="8" t="str">
        <f>FonemaPT(A183)</f>
        <v>ABEU</v>
      </c>
      <c r="I183" s="53"/>
    </row>
    <row r="184" spans="1:9" ht="15.75" x14ac:dyDescent="0.25">
      <c r="B184" s="8"/>
      <c r="D184" s="15"/>
      <c r="F184" s="8"/>
      <c r="H184" s="8"/>
    </row>
    <row r="185" spans="1:9" ht="18.75" customHeight="1" x14ac:dyDescent="0.3">
      <c r="A185" s="4" t="s">
        <v>126</v>
      </c>
      <c r="B185" s="8" t="str">
        <f>BuscaFoneticaBR(A185)</f>
        <v>PAPEO</v>
      </c>
      <c r="C185" s="53" t="str">
        <f>IF(B185=B186,"Iguais","Diferentes")</f>
        <v>Iguais</v>
      </c>
      <c r="D185" s="15" t="str">
        <f>FonemaPT(A185,1)</f>
        <v>P</v>
      </c>
      <c r="E185" s="53" t="str">
        <f>IF(D185=D186,"Iguais","Diferentes")</f>
        <v>Iguais</v>
      </c>
      <c r="F185" s="8" t="str">
        <f>RSOUNDEX(A185)</f>
        <v>P14</v>
      </c>
      <c r="G185" s="53" t="str">
        <f>IF(F185=F186,"Iguais","Diferentes")</f>
        <v>Diferentes</v>
      </c>
      <c r="H185" s="8" t="str">
        <f>FonemaPT(A185)</f>
        <v>PAPE</v>
      </c>
      <c r="I185" s="53" t="str">
        <f>IF(H185=H186,"Iguais","Diferentes")</f>
        <v>Diferentes</v>
      </c>
    </row>
    <row r="186" spans="1:9" ht="18.75" customHeight="1" x14ac:dyDescent="0.3">
      <c r="A186" s="4" t="s">
        <v>127</v>
      </c>
      <c r="B186" s="8" t="str">
        <f>BuscaFoneticaBR(A186)</f>
        <v>PAPEO</v>
      </c>
      <c r="C186" s="53"/>
      <c r="D186" s="15" t="str">
        <f>FonemaPT(A186,1)</f>
        <v>P</v>
      </c>
      <c r="E186" s="53"/>
      <c r="F186" s="8" t="str">
        <f>RSOUNDEX(A186)</f>
        <v>P1</v>
      </c>
      <c r="G186" s="53"/>
      <c r="H186" s="8" t="str">
        <f>FonemaPT(A186)</f>
        <v>PAPEU</v>
      </c>
      <c r="I186" s="53"/>
    </row>
    <row r="187" spans="1:9" ht="15.75" x14ac:dyDescent="0.25">
      <c r="B187" s="8"/>
      <c r="D187" s="15"/>
      <c r="F187" s="8"/>
      <c r="H187" s="8"/>
    </row>
    <row r="188" spans="1:9" ht="18.75" customHeight="1" x14ac:dyDescent="0.3">
      <c r="A188" s="4" t="s">
        <v>128</v>
      </c>
      <c r="B188" s="8" t="str">
        <f>BuscaFoneticaBR(A188)</f>
        <v>JOM</v>
      </c>
      <c r="C188" s="53" t="str">
        <f>IF(B188=B189,"Iguais","Diferentes")</f>
        <v>Iguais</v>
      </c>
      <c r="D188" s="15" t="str">
        <f>FonemaPT(A188,1)</f>
        <v>JM</v>
      </c>
      <c r="E188" s="53" t="str">
        <f>IF(D188=D189,"Iguais","Diferentes")</f>
        <v>Iguais</v>
      </c>
      <c r="F188" s="8" t="str">
        <f>RSOUNDEX(A188)</f>
        <v>J654</v>
      </c>
      <c r="G188" s="53" t="str">
        <f>IF(F188=F189,"Iguais","Diferentes")</f>
        <v>Diferentes</v>
      </c>
      <c r="H188" s="8" t="str">
        <f>FonemaPT(A188)</f>
        <v>JOMA</v>
      </c>
      <c r="I188" s="53" t="str">
        <f>IF(H188=H189,"Iguais","Diferentes")</f>
        <v>Diferentes</v>
      </c>
    </row>
    <row r="189" spans="1:9" ht="18.75" customHeight="1" x14ac:dyDescent="0.3">
      <c r="A189" s="4" t="s">
        <v>129</v>
      </c>
      <c r="B189" s="8" t="str">
        <f>BuscaFoneticaBR(A189)</f>
        <v>JOM</v>
      </c>
      <c r="C189" s="53"/>
      <c r="D189" s="15" t="str">
        <f>FonemaPT(A189,1)</f>
        <v>JM</v>
      </c>
      <c r="E189" s="53"/>
      <c r="F189" s="8" t="str">
        <f>RSOUNDEX(A189)</f>
        <v>J65</v>
      </c>
      <c r="G189" s="53"/>
      <c r="H189" s="8" t="str">
        <f>FonemaPT(A189)</f>
        <v>JOMAU</v>
      </c>
      <c r="I189" s="53"/>
    </row>
    <row r="190" spans="1:9" ht="15.75" x14ac:dyDescent="0.25">
      <c r="B190" s="8"/>
      <c r="D190" s="15"/>
      <c r="F190" s="8"/>
      <c r="H190" s="8"/>
    </row>
    <row r="191" spans="1:9" ht="18.75" customHeight="1" x14ac:dyDescent="0.3">
      <c r="A191" s="4" t="s">
        <v>130</v>
      </c>
      <c r="B191" s="8" t="str">
        <f>BuscaFoneticaBR(A191)</f>
        <v>KAMEO</v>
      </c>
      <c r="C191" s="53" t="str">
        <f>IF(B191=B192,"Iguais","Diferentes")</f>
        <v>Iguais</v>
      </c>
      <c r="D191" s="15" t="str">
        <f>FonemaPT(A191,1)</f>
        <v>KM</v>
      </c>
      <c r="E191" s="53" t="str">
        <f>IF(D191=D192,"Iguais","Diferentes")</f>
        <v>Iguais</v>
      </c>
      <c r="F191" s="8" t="str">
        <f>RSOUNDEX(A191)</f>
        <v>C54</v>
      </c>
      <c r="G191" s="53" t="str">
        <f>IF(F191=F192,"Iguais","Diferentes")</f>
        <v>Diferentes</v>
      </c>
      <c r="H191" s="8" t="str">
        <f>FonemaPT(A191)</f>
        <v>KMI</v>
      </c>
      <c r="I191" s="53" t="str">
        <f>IF(H191=H192,"Iguais","Diferentes")</f>
        <v>Diferentes</v>
      </c>
    </row>
    <row r="192" spans="1:9" ht="18.75" customHeight="1" x14ac:dyDescent="0.3">
      <c r="A192" s="4" t="s">
        <v>131</v>
      </c>
      <c r="B192" s="8" t="str">
        <f>BuscaFoneticaBR(A192)</f>
        <v>KAMEO</v>
      </c>
      <c r="C192" s="53"/>
      <c r="D192" s="15" t="str">
        <f>FonemaPT(A192,1)</f>
        <v>KM</v>
      </c>
      <c r="E192" s="53"/>
      <c r="F192" s="8" t="str">
        <f>RSOUNDEX(A192)</f>
        <v>C5</v>
      </c>
      <c r="G192" s="53"/>
      <c r="H192" s="8" t="str">
        <f>FonemaPT(A192)</f>
        <v>KMIU</v>
      </c>
      <c r="I192" s="53"/>
    </row>
    <row r="193" spans="1:9" ht="15.75" x14ac:dyDescent="0.25">
      <c r="B193" s="8"/>
      <c r="D193" s="15"/>
      <c r="F193" s="8"/>
      <c r="H193" s="8"/>
    </row>
    <row r="194" spans="1:9" ht="18.75" customHeight="1" x14ac:dyDescent="0.3">
      <c r="A194" s="4" t="s">
        <v>132</v>
      </c>
      <c r="B194" s="8" t="str">
        <f>BuscaFoneticaBR(A194)</f>
        <v>PAEO</v>
      </c>
      <c r="C194" s="53" t="str">
        <f>IF(B194=B195,"Iguais","Diferentes")</f>
        <v>Iguais</v>
      </c>
      <c r="D194" s="15" t="str">
        <f>FonemaPT(A194,1)</f>
        <v>P</v>
      </c>
      <c r="E194" s="53" t="str">
        <f>IF(D194=D195,"Iguais","Diferentes")</f>
        <v>Iguais</v>
      </c>
      <c r="F194" s="8" t="str">
        <f>RSOUNDEX(A194)</f>
        <v>P4</v>
      </c>
      <c r="G194" s="53" t="str">
        <f>IF(F194=F195,"Iguais","Diferentes")</f>
        <v>Diferentes</v>
      </c>
      <c r="H194" s="8" t="str">
        <f>FonemaPT(A194)</f>
        <v>PAIO</v>
      </c>
      <c r="I194" s="53" t="str">
        <f>IF(H194=H195,"Iguais","Diferentes")</f>
        <v>Diferentes</v>
      </c>
    </row>
    <row r="195" spans="1:9" ht="18.75" customHeight="1" x14ac:dyDescent="0.3">
      <c r="A195" s="4" t="s">
        <v>133</v>
      </c>
      <c r="B195" s="8" t="str">
        <f>BuscaFoneticaBR(A195)</f>
        <v>PAEO</v>
      </c>
      <c r="C195" s="53"/>
      <c r="D195" s="15" t="str">
        <f>FonemaPT(A195,1)</f>
        <v>P</v>
      </c>
      <c r="E195" s="53"/>
      <c r="F195" s="8" t="str">
        <f>RSOUNDEX(A195)</f>
        <v>P</v>
      </c>
      <c r="G195" s="53"/>
      <c r="H195" s="8" t="str">
        <f>FonemaPT(A195)</f>
        <v>PAIOU</v>
      </c>
      <c r="I195" s="53"/>
    </row>
    <row r="196" spans="1:9" ht="15.75" x14ac:dyDescent="0.25">
      <c r="B196" s="8"/>
      <c r="D196" s="15"/>
      <c r="F196" s="8"/>
      <c r="H196" s="8"/>
    </row>
    <row r="197" spans="1:9" ht="18.75" customHeight="1" x14ac:dyDescent="0.3">
      <c r="A197" s="4" t="s">
        <v>134</v>
      </c>
      <c r="B197" s="8" t="str">
        <f>BuscaFoneticaBR(A197)</f>
        <v>MEO</v>
      </c>
      <c r="C197" s="53" t="str">
        <f>IF(B197=B198,"Iguais","Diferentes")</f>
        <v>Iguais</v>
      </c>
      <c r="D197" s="15" t="str">
        <f>FonemaPT(A197,1)</f>
        <v>M</v>
      </c>
      <c r="E197" s="53" t="str">
        <f>IF(D197=D198,"Iguais","Diferentes")</f>
        <v>Iguais</v>
      </c>
      <c r="F197" s="8" t="str">
        <f>RSOUNDEX(A197)</f>
        <v>M4</v>
      </c>
      <c r="G197" s="53" t="str">
        <f>IF(F197=F198,"Iguais","Diferentes")</f>
        <v>Diferentes</v>
      </c>
      <c r="H197" s="8" t="str">
        <f>FonemaPT(A197)</f>
        <v>ME</v>
      </c>
      <c r="I197" s="53" t="str">
        <f>IF(H197=H198,"Iguais","Diferentes")</f>
        <v>Diferentes</v>
      </c>
    </row>
    <row r="198" spans="1:9" ht="18.75" customHeight="1" x14ac:dyDescent="0.3">
      <c r="A198" s="4" t="s">
        <v>135</v>
      </c>
      <c r="B198" s="8" t="str">
        <f>BuscaFoneticaBR(A198)</f>
        <v>MEO</v>
      </c>
      <c r="C198" s="53"/>
      <c r="D198" s="15" t="str">
        <f>FonemaPT(A198,1)</f>
        <v>M</v>
      </c>
      <c r="E198" s="53"/>
      <c r="F198" s="8" t="str">
        <f>RSOUNDEX(A198)</f>
        <v>M</v>
      </c>
      <c r="G198" s="53"/>
      <c r="H198" s="8" t="str">
        <f>FonemaPT(A198)</f>
        <v>MEU</v>
      </c>
      <c r="I198" s="53"/>
    </row>
    <row r="199" spans="1:9" ht="15.75" x14ac:dyDescent="0.25">
      <c r="B199" s="8"/>
      <c r="D199" s="15"/>
      <c r="F199" s="8"/>
      <c r="H199" s="8"/>
    </row>
    <row r="200" spans="1:9" ht="18.75" customHeight="1" x14ac:dyDescent="0.3">
      <c r="A200" s="4" t="s">
        <v>136</v>
      </c>
      <c r="B200" s="8" t="str">
        <f>BuscaFoneticaBR(A200)</f>
        <v>M</v>
      </c>
      <c r="C200" s="53" t="str">
        <f>IF(B200=B201,"Iguais","Diferentes")</f>
        <v>Iguais</v>
      </c>
      <c r="D200" s="15" t="str">
        <f>FonemaPT(A200,1)</f>
        <v>M</v>
      </c>
      <c r="E200" s="53" t="str">
        <f>IF(D200=D201,"Iguais","Diferentes")</f>
        <v>Iguais</v>
      </c>
      <c r="F200" s="8" t="str">
        <f>RSOUNDEX(A200)</f>
        <v>M4</v>
      </c>
      <c r="G200" s="53" t="str">
        <f>IF(F200=F201,"Iguais","Diferentes")</f>
        <v>Diferentes</v>
      </c>
      <c r="H200" s="8" t="str">
        <f>FonemaPT(A200)</f>
        <v>MA</v>
      </c>
      <c r="I200" s="53" t="str">
        <f>IF(H200=H201,"Iguais","Diferentes")</f>
        <v>Diferentes</v>
      </c>
    </row>
    <row r="201" spans="1:9" ht="18.75" customHeight="1" x14ac:dyDescent="0.3">
      <c r="A201" s="4" t="s">
        <v>137</v>
      </c>
      <c r="B201" s="8" t="str">
        <f>BuscaFoneticaBR(A201)</f>
        <v>M</v>
      </c>
      <c r="C201" s="53"/>
      <c r="D201" s="15" t="str">
        <f>FonemaPT(A201,1)</f>
        <v>M</v>
      </c>
      <c r="E201" s="53"/>
      <c r="F201" s="8" t="str">
        <f>RSOUNDEX(A201)</f>
        <v>M</v>
      </c>
      <c r="G201" s="53"/>
      <c r="H201" s="8" t="str">
        <f>FonemaPT(A201)</f>
        <v>MAU</v>
      </c>
      <c r="I201" s="53"/>
    </row>
    <row r="202" spans="1:9" ht="15.75" x14ac:dyDescent="0.25">
      <c r="B202" s="8"/>
      <c r="D202" s="15"/>
      <c r="F202" s="8"/>
      <c r="H202" s="8"/>
    </row>
    <row r="203" spans="1:9" ht="18.75" customHeight="1" x14ac:dyDescent="0.3">
      <c r="A203" s="4" t="s">
        <v>138</v>
      </c>
      <c r="B203" s="8" t="str">
        <f>BuscaFoneticaBR(A203)</f>
        <v>KARAKO</v>
      </c>
      <c r="C203" s="53" t="str">
        <f>IF(B203=B204,"Iguais","Diferentes")</f>
        <v>Iguais</v>
      </c>
      <c r="D203" s="15" t="str">
        <f>FonemaPT(A203,1)</f>
        <v>KLSK</v>
      </c>
      <c r="E203" s="53" t="str">
        <f>IF(D203=D204,"Iguais","Diferentes")</f>
        <v>Iguais</v>
      </c>
      <c r="F203" s="8" t="str">
        <f>RSOUNDEX(A203)</f>
        <v>C62</v>
      </c>
      <c r="G203" s="53" t="str">
        <f>IF(F203=F204,"Iguais","Diferentes")</f>
        <v>Iguais</v>
      </c>
      <c r="H203" s="8" t="str">
        <f>FonemaPT(A203)</f>
        <v>KLASK</v>
      </c>
      <c r="I203" s="53" t="str">
        <f>IF(H203=H204,"Iguais","Diferentes")</f>
        <v>Iguais</v>
      </c>
    </row>
    <row r="204" spans="1:9" ht="18.75" customHeight="1" x14ac:dyDescent="0.3">
      <c r="A204" s="4" t="s">
        <v>139</v>
      </c>
      <c r="B204" s="8" t="str">
        <f>BuscaFoneticaBR(A204)</f>
        <v>KARAKO</v>
      </c>
      <c r="C204" s="53"/>
      <c r="D204" s="15" t="str">
        <f>FonemaPT(A204,1)</f>
        <v>KLSK</v>
      </c>
      <c r="E204" s="53"/>
      <c r="F204" s="8" t="str">
        <f>RSOUNDEX(A204)</f>
        <v>C62</v>
      </c>
      <c r="G204" s="53"/>
      <c r="H204" s="8" t="str">
        <f>FonemaPT(A204)</f>
        <v>KLASK</v>
      </c>
      <c r="I204" s="53"/>
    </row>
    <row r="205" spans="1:9" ht="15.75" x14ac:dyDescent="0.25">
      <c r="B205" s="8"/>
      <c r="D205" s="15"/>
      <c r="F205" s="8"/>
      <c r="H205" s="8"/>
    </row>
    <row r="206" spans="1:9" ht="18.75" customHeight="1" x14ac:dyDescent="0.3">
      <c r="A206" s="4" t="s">
        <v>115</v>
      </c>
      <c r="B206" s="8" t="str">
        <f>BuscaFoneticaBR(A206)</f>
        <v>ASE</v>
      </c>
      <c r="C206" s="53" t="str">
        <f>IF(B206=B207,"Iguais","Diferentes")</f>
        <v>Iguais</v>
      </c>
      <c r="D206" s="15" t="str">
        <f>FonemaPT(A206,1)</f>
        <v>CS</v>
      </c>
      <c r="E206" s="53" t="str">
        <f>IF(D206=D207,"Iguais","Diferentes")</f>
        <v>Diferentes</v>
      </c>
      <c r="F206" s="8" t="str">
        <f>RSOUNDEX(A206)</f>
        <v>A22</v>
      </c>
      <c r="G206" s="53" t="str">
        <f>IF(F206=F207,"Iguais","Diferentes")</f>
        <v>Iguais</v>
      </c>
      <c r="H206" s="8" t="str">
        <f>FonemaPT(A206)</f>
        <v>ACSES</v>
      </c>
      <c r="I206" s="53" t="str">
        <f>IF(H206=H207,"Iguais","Diferentes")</f>
        <v>Diferentes</v>
      </c>
    </row>
    <row r="207" spans="1:9" ht="18.75" customHeight="1" x14ac:dyDescent="0.3">
      <c r="A207" s="4" t="s">
        <v>116</v>
      </c>
      <c r="B207" s="8" t="str">
        <f>BuscaFoneticaBR(A207)</f>
        <v>ASE</v>
      </c>
      <c r="C207" s="53"/>
      <c r="D207" s="15" t="str">
        <f>FonemaPT(A207,1)</f>
        <v>S</v>
      </c>
      <c r="E207" s="53"/>
      <c r="F207" s="8" t="str">
        <f>RSOUNDEX(A207)</f>
        <v>A22</v>
      </c>
      <c r="G207" s="53"/>
      <c r="H207" s="8" t="str">
        <f>FonemaPT(A207)</f>
        <v>ASE</v>
      </c>
      <c r="I207" s="53"/>
    </row>
    <row r="208" spans="1:9" ht="15.75" x14ac:dyDescent="0.25">
      <c r="B208" s="8"/>
      <c r="D208" s="15"/>
      <c r="F208" s="8"/>
      <c r="H208" s="8"/>
    </row>
    <row r="209" spans="1:9" ht="18.75" customHeight="1" x14ac:dyDescent="0.3">
      <c r="A209" s="4" t="s">
        <v>117</v>
      </c>
      <c r="B209" s="8" t="str">
        <f>BuscaFoneticaBR(A209)</f>
        <v>ESEO</v>
      </c>
      <c r="C209" s="53" t="str">
        <f>IF(AND(B209=B210,B209=B211,B210=B211),"Iguais","Diferentes")</f>
        <v>Iguais</v>
      </c>
      <c r="D209" s="15" t="str">
        <f>FonemaPT(A209,1)</f>
        <v>S</v>
      </c>
      <c r="E209" s="53" t="str">
        <f>IF(AND(D209=D210,D209=D211,D210=D211),"Iguais","Diferentes")</f>
        <v>Diferentes</v>
      </c>
      <c r="F209" s="8" t="str">
        <f>RSOUNDEX(A209)</f>
        <v>E24</v>
      </c>
      <c r="G209" s="53" t="str">
        <f>IF(AND(F209=F210,F209=F211,F210=F211),"Iguais","Diferentes")</f>
        <v>Iguais</v>
      </c>
      <c r="H209" s="8" t="str">
        <f>FonemaPT(A209)</f>
        <v>ESE</v>
      </c>
      <c r="I209" s="53" t="str">
        <f>IF(AND(H209=H210,H209=H211,H210=H211),"Iguais","Diferentes")</f>
        <v>Diferentes</v>
      </c>
    </row>
    <row r="210" spans="1:9" ht="18.75" customHeight="1" x14ac:dyDescent="0.3">
      <c r="A210" s="4" t="s">
        <v>118</v>
      </c>
      <c r="B210" s="8" t="str">
        <f>BuscaFoneticaBR(A210)</f>
        <v>ESEO</v>
      </c>
      <c r="C210" s="53"/>
      <c r="D210" s="15" t="str">
        <f>FonemaPT(A210,1)</f>
        <v>CS</v>
      </c>
      <c r="E210" s="53"/>
      <c r="F210" s="8" t="str">
        <f>RSOUNDEX(A210)</f>
        <v>E24</v>
      </c>
      <c r="G210" s="53"/>
      <c r="H210" s="8" t="str">
        <f>FonemaPT(A210)</f>
        <v>ECSE</v>
      </c>
      <c r="I210" s="53"/>
    </row>
    <row r="211" spans="1:9" ht="18.75" customHeight="1" x14ac:dyDescent="0.3">
      <c r="A211" s="4" t="s">
        <v>119</v>
      </c>
      <c r="B211" s="8" t="str">
        <f>BuscaFoneticaBR(A211)</f>
        <v>ESEO</v>
      </c>
      <c r="C211" s="53"/>
      <c r="D211" s="15" t="str">
        <f>FonemaPT(A211,1)</f>
        <v>S</v>
      </c>
      <c r="E211" s="53"/>
      <c r="F211" s="8" t="str">
        <f>RSOUNDEX(A211)</f>
        <v>E24</v>
      </c>
      <c r="G211" s="53"/>
      <c r="H211" s="8" t="str">
        <f>FonemaPT(A211)</f>
        <v>ESE</v>
      </c>
      <c r="I211" s="53"/>
    </row>
    <row r="212" spans="1:9" ht="15.75" x14ac:dyDescent="0.25">
      <c r="B212" s="8"/>
      <c r="D212" s="15"/>
      <c r="F212" s="8"/>
      <c r="H212" s="8"/>
    </row>
    <row r="213" spans="1:9" ht="18.75" customHeight="1" x14ac:dyDescent="0.3">
      <c r="A213" s="4" t="s">
        <v>142</v>
      </c>
      <c r="B213" s="8" t="str">
        <f>BuscaFoneticaBR(A213)</f>
        <v>ATO</v>
      </c>
      <c r="C213" s="53" t="str">
        <f>IF(B213=B214,"Iguais","Diferentes")</f>
        <v>Iguais</v>
      </c>
      <c r="D213" s="15" t="str">
        <f>FonemaPT(A213,1)</f>
        <v>T</v>
      </c>
      <c r="E213" s="53" t="str">
        <f>IF(D213=D214,"Iguais","Diferentes")</f>
        <v>Iguais</v>
      </c>
      <c r="F213" s="8" t="str">
        <f>RSOUNDEX(A213)</f>
        <v>A636</v>
      </c>
      <c r="G213" s="53" t="str">
        <f>IF(F213=F214,"Iguais","Diferentes")</f>
        <v>Iguais</v>
      </c>
      <c r="H213" s="8" t="str">
        <f>FonemaPT(A213)</f>
        <v>ATHU</v>
      </c>
      <c r="I213" s="53" t="str">
        <f>IF(H213=H214,"Iguais","Diferentes")</f>
        <v>Diferentes</v>
      </c>
    </row>
    <row r="214" spans="1:9" ht="18.75" customHeight="1" x14ac:dyDescent="0.3">
      <c r="A214" s="4" t="s">
        <v>143</v>
      </c>
      <c r="B214" s="8" t="str">
        <f>BuscaFoneticaBR(A214)</f>
        <v>ATO</v>
      </c>
      <c r="C214" s="53"/>
      <c r="D214" s="15" t="str">
        <f>FonemaPT(A214,1)</f>
        <v>T</v>
      </c>
      <c r="E214" s="53"/>
      <c r="F214" s="8" t="str">
        <f>RSOUNDEX(A214)</f>
        <v>A636</v>
      </c>
      <c r="G214" s="53"/>
      <c r="H214" s="8" t="str">
        <f>FonemaPT(A214)</f>
        <v>ATU</v>
      </c>
      <c r="I214" s="53"/>
    </row>
    <row r="215" spans="1:9" ht="15.75" x14ac:dyDescent="0.25">
      <c r="B215" s="8"/>
      <c r="D215" s="15"/>
      <c r="F215" s="8"/>
      <c r="H215" s="8"/>
    </row>
    <row r="216" spans="1:9" ht="18.75" customHeight="1" x14ac:dyDescent="0.3">
      <c r="A216" s="4" t="s">
        <v>144</v>
      </c>
      <c r="B216" s="8" t="str">
        <f>BuscaFoneticaBR(A216)</f>
        <v>DAVE</v>
      </c>
      <c r="C216" s="53" t="str">
        <f>IF(B216=B217,"Iguais","Diferentes")</f>
        <v>Iguais</v>
      </c>
      <c r="D216" s="15" t="str">
        <f>FonemaPT(A216,1)</f>
        <v>DVD</v>
      </c>
      <c r="E216" s="53" t="str">
        <f>IF(D216=D217,"Iguais","Diferentes")</f>
        <v>Diferentes</v>
      </c>
      <c r="F216" s="8" t="str">
        <f>RSOUNDEX(A216)</f>
        <v>D13</v>
      </c>
      <c r="G216" s="53" t="str">
        <f>IF(F216=F217,"Iguais","Diferentes")</f>
        <v>Diferentes</v>
      </c>
      <c r="H216" s="8" t="str">
        <f>FonemaPT(A216)</f>
        <v>DAVID</v>
      </c>
      <c r="I216" s="53" t="str">
        <f>IF(H216=H217,"Iguais","Diferentes")</f>
        <v>Diferentes</v>
      </c>
    </row>
    <row r="217" spans="1:9" ht="18.75" customHeight="1" x14ac:dyDescent="0.3">
      <c r="A217" s="4" t="s">
        <v>145</v>
      </c>
      <c r="B217" s="8" t="str">
        <f>BuscaFoneticaBR(A217)</f>
        <v>DAVE</v>
      </c>
      <c r="C217" s="53"/>
      <c r="D217" s="15" t="str">
        <f>FonemaPT(A217,1)</f>
        <v>DV</v>
      </c>
      <c r="E217" s="53"/>
      <c r="F217" s="8" t="str">
        <f>RSOUNDEX(A217)</f>
        <v>D1</v>
      </c>
      <c r="G217" s="53"/>
      <c r="H217" s="8" t="str">
        <f>FonemaPT(A217)</f>
        <v>DAVI</v>
      </c>
      <c r="I217" s="53"/>
    </row>
    <row r="218" spans="1:9" ht="15.75" x14ac:dyDescent="0.25">
      <c r="B218" s="8"/>
      <c r="D218" s="15"/>
      <c r="F218" s="8"/>
      <c r="H218" s="8"/>
    </row>
    <row r="219" spans="1:9" ht="18.75" customHeight="1" x14ac:dyDescent="0.3">
      <c r="A219" s="4" t="s">
        <v>146</v>
      </c>
      <c r="B219" s="8" t="str">
        <f>BuscaFoneticaBR(A219)</f>
        <v>MAREA</v>
      </c>
      <c r="C219" s="53" t="str">
        <f>IF(B219=B220,"Iguais","Diferentes")</f>
        <v>Iguais</v>
      </c>
      <c r="D219" s="15" t="str">
        <f>FonemaPT(A219,1)</f>
        <v>ML</v>
      </c>
      <c r="E219" s="53" t="str">
        <f>IF(D219=D220,"Iguais","Diferentes")</f>
        <v>Iguais</v>
      </c>
      <c r="F219" s="8" t="str">
        <f>RSOUNDEX(A219)</f>
        <v>M6</v>
      </c>
      <c r="G219" s="53" t="str">
        <f>IF(F219=F220,"Iguais","Diferentes")</f>
        <v>Iguais</v>
      </c>
      <c r="H219" s="8" t="str">
        <f>FonemaPT(A219)</f>
        <v>MALIA</v>
      </c>
      <c r="I219" s="53" t="str">
        <f>IF(H219=H220,"Iguais","Diferentes")</f>
        <v>Diferentes</v>
      </c>
    </row>
    <row r="220" spans="1:9" ht="18.75" customHeight="1" x14ac:dyDescent="0.3">
      <c r="A220" s="4" t="s">
        <v>147</v>
      </c>
      <c r="B220" s="8" t="str">
        <f>BuscaFoneticaBR(A220)</f>
        <v>MAREA</v>
      </c>
      <c r="C220" s="53"/>
      <c r="D220" s="15" t="str">
        <f>FonemaPT(A220,1)</f>
        <v>ML</v>
      </c>
      <c r="E220" s="53"/>
      <c r="F220" s="8" t="str">
        <f>RSOUNDEX(A220)</f>
        <v>M6</v>
      </c>
      <c r="G220" s="53"/>
      <c r="H220" s="8" t="str">
        <f>FonemaPT(A220)</f>
        <v>MALIAH</v>
      </c>
      <c r="I220" s="53"/>
    </row>
    <row r="221" spans="1:9" ht="15.75" x14ac:dyDescent="0.25">
      <c r="B221" s="8"/>
      <c r="D221" s="15"/>
      <c r="F221" s="8"/>
      <c r="H221" s="8"/>
    </row>
    <row r="222" spans="1:9" ht="18.75" customHeight="1" x14ac:dyDescent="0.3">
      <c r="A222" s="4" t="s">
        <v>149</v>
      </c>
      <c r="B222" s="8" t="str">
        <f>BuscaFoneticaBR(A222)</f>
        <v>JERO</v>
      </c>
      <c r="C222" s="53" t="str">
        <f>IF(B222=B223,"Iguais","Diferentes")</f>
        <v>Iguais</v>
      </c>
      <c r="D222" s="15" t="str">
        <f>FonemaPT(A222,1)</f>
        <v>JL</v>
      </c>
      <c r="E222" s="53" t="str">
        <f>IF(D222=D223,"Iguais","Diferentes")</f>
        <v>Iguais</v>
      </c>
      <c r="F222" s="8" t="str">
        <f>RSOUNDEX(A222)</f>
        <v>G4</v>
      </c>
      <c r="G222" s="53" t="str">
        <f>IF(F222=F223,"Iguais","Diferentes")</f>
        <v>Diferentes</v>
      </c>
      <c r="H222" s="8" t="str">
        <f>FonemaPT(A222)</f>
        <v>JLO</v>
      </c>
      <c r="I222" s="53" t="str">
        <f>IF(H222=H223,"Iguais","Diferentes")</f>
        <v>Diferentes</v>
      </c>
    </row>
    <row r="223" spans="1:9" ht="18.75" customHeight="1" x14ac:dyDescent="0.3">
      <c r="A223" s="4" t="s">
        <v>150</v>
      </c>
      <c r="B223" s="8" t="str">
        <f>BuscaFoneticaBR(A223)</f>
        <v>JERO</v>
      </c>
      <c r="C223" s="53"/>
      <c r="D223" s="15" t="str">
        <f>FonemaPT(A223,1)</f>
        <v>JL</v>
      </c>
      <c r="E223" s="53"/>
      <c r="F223" s="8" t="str">
        <f>RSOUNDEX(A223)</f>
        <v>J4</v>
      </c>
      <c r="G223" s="53"/>
      <c r="H223" s="8" t="str">
        <f>FonemaPT(A223)</f>
        <v>JELO</v>
      </c>
      <c r="I223" s="53"/>
    </row>
    <row r="224" spans="1:9" ht="15.75" x14ac:dyDescent="0.25">
      <c r="B224" s="8"/>
      <c r="D224" s="15"/>
      <c r="F224" s="8"/>
      <c r="H224" s="8"/>
    </row>
    <row r="225" spans="1:9" ht="18.75" customHeight="1" x14ac:dyDescent="0.3">
      <c r="A225" s="4" t="s">
        <v>153</v>
      </c>
      <c r="B225" s="8" t="str">
        <f>BuscaFoneticaBR(A225)</f>
        <v>VEAJE</v>
      </c>
      <c r="C225" s="53" t="str">
        <f>IF(B225=B226,"Iguais","Diferentes")</f>
        <v>Iguais</v>
      </c>
      <c r="D225" s="15" t="str">
        <f>FonemaPT(A225,1)</f>
        <v>VJ</v>
      </c>
      <c r="E225" s="53" t="str">
        <f>IF(D225=D226,"Iguais","Diferentes")</f>
        <v>Iguais</v>
      </c>
      <c r="F225" s="8" t="str">
        <f>RSOUNDEX(A225)</f>
        <v>V25</v>
      </c>
      <c r="G225" s="53" t="str">
        <f>IF(F225=F226,"Iguais","Diferentes")</f>
        <v>Iguais</v>
      </c>
      <c r="H225" s="8" t="str">
        <f>FonemaPT(A225)</f>
        <v>VIAJE</v>
      </c>
      <c r="I225" s="53" t="str">
        <f>IF(H225=H226,"Iguais","Diferentes")</f>
        <v>Diferentes</v>
      </c>
    </row>
    <row r="226" spans="1:9" ht="18.75" customHeight="1" x14ac:dyDescent="0.3">
      <c r="A226" s="4" t="s">
        <v>148</v>
      </c>
      <c r="B226" s="8" t="str">
        <f>BuscaFoneticaBR(A226)</f>
        <v>VEAJE</v>
      </c>
      <c r="C226" s="53"/>
      <c r="D226" s="15" t="str">
        <f>FonemaPT(A226,1)</f>
        <v>VJ</v>
      </c>
      <c r="E226" s="53"/>
      <c r="F226" s="8" t="str">
        <f>RSOUNDEX(A226)</f>
        <v>V25</v>
      </c>
      <c r="G226" s="53"/>
      <c r="H226" s="8" t="str">
        <f>FonemaPT(A226)</f>
        <v>VIAJ</v>
      </c>
      <c r="I226" s="53"/>
    </row>
    <row r="227" spans="1:9" ht="15.75" x14ac:dyDescent="0.25">
      <c r="B227" s="8"/>
      <c r="D227" s="15"/>
      <c r="F227" s="8"/>
      <c r="H227" s="8"/>
    </row>
    <row r="228" spans="1:9" ht="18.75" customHeight="1" x14ac:dyDescent="0.3">
      <c r="A228" s="4" t="s">
        <v>151</v>
      </c>
      <c r="B228" s="8" t="str">
        <f>BuscaFoneticaBR(A228)</f>
        <v>VEADO</v>
      </c>
      <c r="C228" s="53" t="str">
        <f>IF(B228=B229,"Iguais","Diferentes")</f>
        <v>Iguais</v>
      </c>
      <c r="D228" s="15" t="str">
        <f>FonemaPT(A228,1)</f>
        <v>VD</v>
      </c>
      <c r="E228" s="53" t="str">
        <f>IF(D228=D229,"Iguais","Diferentes")</f>
        <v>Iguais</v>
      </c>
      <c r="F228" s="8" t="str">
        <f>RSOUNDEX(A228)</f>
        <v>V3</v>
      </c>
      <c r="G228" s="53" t="str">
        <f>IF(F228=F229,"Iguais","Diferentes")</f>
        <v>Iguais</v>
      </c>
      <c r="H228" s="8" t="str">
        <f>FonemaPT(A228)</f>
        <v>VIADO</v>
      </c>
      <c r="I228" s="53" t="str">
        <f>IF(H228=H229,"Iguais","Diferentes")</f>
        <v>Diferentes</v>
      </c>
    </row>
    <row r="229" spans="1:9" ht="18.75" customHeight="1" x14ac:dyDescent="0.3">
      <c r="A229" s="4" t="s">
        <v>152</v>
      </c>
      <c r="B229" s="8" t="str">
        <f>BuscaFoneticaBR(A229)</f>
        <v>VEADO</v>
      </c>
      <c r="C229" s="53"/>
      <c r="D229" s="15" t="str">
        <f>FonemaPT(A229,1)</f>
        <v>VD</v>
      </c>
      <c r="E229" s="53"/>
      <c r="F229" s="8" t="str">
        <f>RSOUNDEX(A229)</f>
        <v>V3</v>
      </c>
      <c r="G229" s="53"/>
      <c r="H229" s="8" t="str">
        <f>FonemaPT(A229)</f>
        <v>VEADO</v>
      </c>
      <c r="I229" s="53"/>
    </row>
    <row r="230" spans="1:9" ht="15.75" x14ac:dyDescent="0.25">
      <c r="B230" s="8"/>
      <c r="D230" s="15"/>
      <c r="F230" s="8"/>
      <c r="H230" s="8"/>
    </row>
    <row r="231" spans="1:9" ht="18.75" customHeight="1" x14ac:dyDescent="0.3">
      <c r="A231" s="4" t="s">
        <v>156</v>
      </c>
      <c r="B231" s="8" t="str">
        <f>BuscaFoneticaBR(A231)</f>
        <v>VERAKE</v>
      </c>
      <c r="C231" s="53" t="str">
        <f>IF(B231=B232,"Iguais","Diferentes")</f>
        <v>Iguais</v>
      </c>
      <c r="D231" s="15" t="str">
        <f>FonemaPT(A231,1)</f>
        <v>VLSK</v>
      </c>
      <c r="E231" s="53" t="str">
        <f>IF(D231=D232,"Iguais","Diferentes")</f>
        <v>Iguais</v>
      </c>
      <c r="F231" s="8" t="str">
        <f>RSOUNDEX(A231)</f>
        <v>V422</v>
      </c>
      <c r="G231" s="53" t="str">
        <f>IF(F231=F232,"Iguais","Diferentes")</f>
        <v>Iguais</v>
      </c>
      <c r="H231" s="8" t="str">
        <f>FonemaPT(A231)</f>
        <v>VELASKUE</v>
      </c>
      <c r="I231" s="53" t="str">
        <f>IF(H231=H232,"Iguais","Diferentes")</f>
        <v>Iguais</v>
      </c>
    </row>
    <row r="232" spans="1:9" ht="18.75" customHeight="1" x14ac:dyDescent="0.3">
      <c r="A232" s="4" t="s">
        <v>157</v>
      </c>
      <c r="B232" s="8" t="str">
        <f>BuscaFoneticaBR(A232)</f>
        <v>VERAKE</v>
      </c>
      <c r="C232" s="53"/>
      <c r="D232" s="15" t="str">
        <f>FonemaPT(A232,1)</f>
        <v>VLSK</v>
      </c>
      <c r="E232" s="53"/>
      <c r="F232" s="8" t="str">
        <f>RSOUNDEX(A232)</f>
        <v>V422</v>
      </c>
      <c r="G232" s="53"/>
      <c r="H232" s="8" t="str">
        <f>FonemaPT(A232)</f>
        <v>VELASKUE</v>
      </c>
      <c r="I232" s="53"/>
    </row>
    <row r="233" spans="1:9" ht="15.75" x14ac:dyDescent="0.25">
      <c r="B233" s="8"/>
      <c r="D233" s="15"/>
      <c r="F233" s="8"/>
      <c r="H233" s="8"/>
    </row>
    <row r="234" spans="1:9" ht="15.75" customHeight="1" x14ac:dyDescent="0.25">
      <c r="A234" t="s">
        <v>158</v>
      </c>
      <c r="B234" s="8" t="str">
        <f>BuscaFoneticaBR(A234)</f>
        <v>ROJEREO RODEJE REMA</v>
      </c>
      <c r="C234" s="53" t="str">
        <f>IF(B234=B235,"Iguais","Diferentes")</f>
        <v>Iguais</v>
      </c>
      <c r="D234" s="15" t="str">
        <f>FonemaPT(A234,1)</f>
        <v>LJL LDLJ LM</v>
      </c>
      <c r="E234" s="53" t="str">
        <f>IF(D234=D235,"Iguais","Diferentes")</f>
        <v>Diferentes</v>
      </c>
      <c r="F234" s="8" t="str">
        <f>RSOUNDEX(A234)</f>
        <v>R266</v>
      </c>
      <c r="G234" s="53" t="str">
        <f>IF(F234=F235,"Iguais","Diferentes")</f>
        <v>Iguais</v>
      </c>
      <c r="H234" s="8" t="str">
        <f>FonemaPT(A234)</f>
        <v>LOJELIO LODLIJ LIMA</v>
      </c>
      <c r="I234" s="53" t="str">
        <f>IF(H234=H235,"Iguais","Diferentes")</f>
        <v>Diferentes</v>
      </c>
    </row>
    <row r="235" spans="1:9" ht="15.75" customHeight="1" x14ac:dyDescent="0.25">
      <c r="A235" t="s">
        <v>159</v>
      </c>
      <c r="B235" s="8" t="str">
        <f>BuscaFoneticaBR(A235)</f>
        <v>ROJEREO RODEJE REMA</v>
      </c>
      <c r="C235" s="53"/>
      <c r="D235" s="15" t="str">
        <f>FonemaPT(A235,1)</f>
        <v>LJL LDLG LM</v>
      </c>
      <c r="E235" s="53"/>
      <c r="F235" s="8" t="str">
        <f>RSOUNDEX(A235)</f>
        <v>R266</v>
      </c>
      <c r="G235" s="53"/>
      <c r="H235" s="8" t="str">
        <f>FonemaPT(A235)</f>
        <v>LOJLIO LODLIGUE LIMA</v>
      </c>
      <c r="I235" s="53"/>
    </row>
    <row r="236" spans="1:9" ht="15.75" x14ac:dyDescent="0.25">
      <c r="B236" s="8"/>
      <c r="D236" s="15"/>
      <c r="F236" s="8"/>
      <c r="H236" s="8"/>
    </row>
    <row r="237" spans="1:9" ht="18.75" customHeight="1" x14ac:dyDescent="0.3">
      <c r="A237" s="4" t="s">
        <v>163</v>
      </c>
      <c r="B237" s="8" t="str">
        <f>BuscaFoneticaBR(A237)</f>
        <v>ADEAMO</v>
      </c>
      <c r="C237" s="53" t="str">
        <f>IF(AND(B237=B238,B237=B239,B238=B239),"Iguais","Diferentes")</f>
        <v>Iguais</v>
      </c>
      <c r="D237" s="15" t="str">
        <f>FonemaPT(A237,1)</f>
        <v>DLM</v>
      </c>
      <c r="E237" s="53" t="str">
        <f>IF(AND(D237=D238,D237=D239,D238=D239),"Iguais","Diferentes")</f>
        <v>Iguais</v>
      </c>
      <c r="F237" s="8" t="str">
        <f>RSOUNDEX(A237)</f>
        <v>A365</v>
      </c>
      <c r="G237" s="53" t="str">
        <f>IF(AND(F237=F238,F237=F239,F238=F239),"Iguais","Diferentes")</f>
        <v>Iguais</v>
      </c>
      <c r="H237" s="8" t="str">
        <f>FonemaPT(A237)</f>
        <v>ADLIAMO</v>
      </c>
      <c r="I237" s="53" t="str">
        <f>IF(AND(H237=H238,H237=H239,H238=H239),"Iguais","Diferentes")</f>
        <v>Iguais</v>
      </c>
    </row>
    <row r="238" spans="1:9" ht="18.75" customHeight="1" x14ac:dyDescent="0.3">
      <c r="A238" s="4" t="s">
        <v>164</v>
      </c>
      <c r="B238" s="8" t="str">
        <f>BuscaFoneticaBR(A238)</f>
        <v>ADEAMO</v>
      </c>
      <c r="C238" s="53"/>
      <c r="D238" s="15" t="str">
        <f>FonemaPT(A238,1)</f>
        <v>DLM</v>
      </c>
      <c r="E238" s="53"/>
      <c r="F238" s="8" t="str">
        <f>RSOUNDEX(A238)</f>
        <v>A365</v>
      </c>
      <c r="G238" s="53"/>
      <c r="H238" s="8" t="str">
        <f>FonemaPT(A238)</f>
        <v>ADLIAMO</v>
      </c>
      <c r="I238" s="53"/>
    </row>
    <row r="239" spans="1:9" ht="18.75" customHeight="1" x14ac:dyDescent="0.3">
      <c r="A239" s="4" t="s">
        <v>165</v>
      </c>
      <c r="B239" s="8" t="str">
        <f>BuscaFoneticaBR(A239)</f>
        <v>ADEAMO</v>
      </c>
      <c r="C239" s="53"/>
      <c r="D239" s="15" t="str">
        <f>FonemaPT(A239,1)</f>
        <v>DLM</v>
      </c>
      <c r="E239" s="53"/>
      <c r="F239" s="8" t="str">
        <f>RSOUNDEX(A239)</f>
        <v>A365</v>
      </c>
      <c r="G239" s="53"/>
      <c r="H239" s="8" t="str">
        <f>FonemaPT(A239)</f>
        <v>ADLIAMO</v>
      </c>
      <c r="I239" s="53"/>
    </row>
    <row r="240" spans="1:9" ht="15.75" x14ac:dyDescent="0.25">
      <c r="B240" s="8"/>
      <c r="D240" s="15"/>
      <c r="F240" s="8"/>
      <c r="H240" s="8"/>
    </row>
    <row r="241" spans="1:9" ht="15.75" customHeight="1" x14ac:dyDescent="0.25">
      <c r="A241" t="s">
        <v>166</v>
      </c>
      <c r="B241" s="8" t="str">
        <f>BuscaFoneticaBR(A241)</f>
        <v>KAOSADO</v>
      </c>
      <c r="C241" s="53" t="str">
        <f>IF(B241=B242,"Iguais","Diferentes")</f>
        <v>Iguais</v>
      </c>
      <c r="D241" s="15" t="str">
        <f>FonemaPT(A241,1)</f>
        <v>KLSD</v>
      </c>
      <c r="E241" s="53" t="str">
        <f>IF(D241=D242,"Iguais","Diferentes")</f>
        <v>Iguais</v>
      </c>
      <c r="F241" s="8" t="str">
        <f>RSOUNDEX(A241)</f>
        <v>C43</v>
      </c>
      <c r="G241" s="53" t="str">
        <f>IF(F241=F242,"Iguais","Diferentes")</f>
        <v>Diferentes</v>
      </c>
      <c r="H241" s="8" t="str">
        <f>FonemaPT(A241)</f>
        <v>KLSADO</v>
      </c>
      <c r="I241" s="53" t="str">
        <f>IF(H241=H242,"Iguais","Diferentes")</f>
        <v>Iguais</v>
      </c>
    </row>
    <row r="242" spans="1:9" ht="15.75" customHeight="1" x14ac:dyDescent="0.25">
      <c r="A242" t="s">
        <v>167</v>
      </c>
      <c r="B242" s="8" t="str">
        <f>BuscaFoneticaBR(A242)</f>
        <v>KAOSADO</v>
      </c>
      <c r="C242" s="53"/>
      <c r="D242" s="15" t="str">
        <f>FonemaPT(A242,1)</f>
        <v>KLSD</v>
      </c>
      <c r="E242" s="53"/>
      <c r="F242" s="8" t="str">
        <f>RSOUNDEX(A242)</f>
        <v>C423</v>
      </c>
      <c r="G242" s="53"/>
      <c r="H242" s="8" t="str">
        <f>FonemaPT(A242)</f>
        <v>KLSADO</v>
      </c>
      <c r="I242" s="53"/>
    </row>
    <row r="243" spans="1:9" ht="15.75" x14ac:dyDescent="0.25">
      <c r="B243" s="8"/>
      <c r="D243" s="15"/>
      <c r="F243" s="8"/>
      <c r="H243" s="8"/>
    </row>
    <row r="244" spans="1:9" ht="15.75" customHeight="1" x14ac:dyDescent="0.25">
      <c r="A244" t="s">
        <v>168</v>
      </c>
      <c r="B244" s="8" t="str">
        <f>BuscaFoneticaBR(A244)</f>
        <v>SEKARA</v>
      </c>
      <c r="C244" s="53" t="str">
        <f>IF(B244=B245,"Iguais","Diferentes")</f>
        <v>Iguais</v>
      </c>
      <c r="D244" s="15" t="str">
        <f>FonemaPT(A244,1)</f>
        <v>SKL</v>
      </c>
      <c r="E244" s="53" t="str">
        <f>IF(D244=D245,"Iguais","Diferentes")</f>
        <v>Diferentes</v>
      </c>
      <c r="F244" s="8" t="str">
        <f>RSOUNDEX(A244)</f>
        <v>X26</v>
      </c>
      <c r="G244" s="53" t="str">
        <f>IF(F244=F245,"Iguais","Diferentes")</f>
        <v>Diferentes</v>
      </c>
      <c r="H244" s="8" t="str">
        <f>FonemaPT(A244)</f>
        <v>SIKLA</v>
      </c>
      <c r="I244" s="53" t="str">
        <f>IF(H244=H245,"Iguais","Diferentes")</f>
        <v>Diferentes</v>
      </c>
    </row>
    <row r="245" spans="1:9" ht="15.75" customHeight="1" x14ac:dyDescent="0.25">
      <c r="A245" t="s">
        <v>169</v>
      </c>
      <c r="B245" s="8" t="str">
        <f>BuscaFoneticaBR(A245)</f>
        <v>SEKARA</v>
      </c>
      <c r="C245" s="53"/>
      <c r="D245" s="15" t="str">
        <f>FonemaPT(A245,1)</f>
        <v>CKL</v>
      </c>
      <c r="E245" s="53"/>
      <c r="F245" s="8" t="str">
        <f>RSOUNDEX(A245)</f>
        <v>C26</v>
      </c>
      <c r="G245" s="53"/>
      <c r="H245" s="8" t="str">
        <f>FonemaPT(A245)</f>
        <v>CHIKLA</v>
      </c>
      <c r="I245" s="53"/>
    </row>
    <row r="246" spans="1:9" ht="15.75" x14ac:dyDescent="0.25">
      <c r="B246" s="8"/>
      <c r="D246" s="15"/>
      <c r="F246" s="8"/>
      <c r="H246" s="8"/>
    </row>
    <row r="247" spans="1:9" ht="15.75" customHeight="1" x14ac:dyDescent="0.25">
      <c r="A247" t="s">
        <v>170</v>
      </c>
      <c r="B247" s="8" t="str">
        <f>BuscaFoneticaBR(A247)</f>
        <v>SOMESO</v>
      </c>
      <c r="C247" s="53" t="str">
        <f>IF(B247=B248,"Iguais","Diferentes")</f>
        <v>Iguais</v>
      </c>
      <c r="D247" s="15" t="str">
        <f>FonemaPT(A247,1)</f>
        <v>SMS</v>
      </c>
      <c r="E247" s="53" t="str">
        <f>IF(D247=D248,"Iguais","Diferentes")</f>
        <v>Diferentes</v>
      </c>
      <c r="F247" s="8" t="str">
        <f>RSOUNDEX(A247)</f>
        <v>S5</v>
      </c>
      <c r="G247" s="53" t="str">
        <f>IF(F247=F248,"Iguais","Diferentes")</f>
        <v>Diferentes</v>
      </c>
      <c r="H247" s="8" t="str">
        <f>FonemaPT(A247)</f>
        <v>SUMISO</v>
      </c>
      <c r="I247" s="53" t="str">
        <f>IF(H247=H248,"Iguais","Diferentes")</f>
        <v>Diferentes</v>
      </c>
    </row>
    <row r="248" spans="1:9" ht="15.75" customHeight="1" x14ac:dyDescent="0.25">
      <c r="A248" t="s">
        <v>171</v>
      </c>
      <c r="B248" s="8" t="str">
        <f>BuscaFoneticaBR(A248)</f>
        <v>SOMESO</v>
      </c>
      <c r="C248" s="53"/>
      <c r="D248" s="15" t="str">
        <f>FonemaPT(A248,1)</f>
        <v>CMS</v>
      </c>
      <c r="E248" s="53"/>
      <c r="F248" s="8" t="str">
        <f>RSOUNDEX(A248)</f>
        <v>C52</v>
      </c>
      <c r="G248" s="53"/>
      <c r="H248" s="8" t="str">
        <f>FonemaPT(A248)</f>
        <v>CHUMISO</v>
      </c>
      <c r="I248" s="53"/>
    </row>
    <row r="249" spans="1:9" ht="15.75" x14ac:dyDescent="0.25">
      <c r="B249" s="8"/>
      <c r="D249" s="15"/>
      <c r="F249" s="8"/>
      <c r="H249" s="8"/>
    </row>
    <row r="250" spans="1:9" ht="15.75" customHeight="1" x14ac:dyDescent="0.25">
      <c r="A250" t="s">
        <v>172</v>
      </c>
      <c r="B250" s="8" t="str">
        <f>BuscaFoneticaBR(A250)</f>
        <v>TEJERA</v>
      </c>
      <c r="C250" s="53" t="str">
        <f>IF(B250=B251,"Iguais","Diferentes")</f>
        <v>Iguais</v>
      </c>
      <c r="D250" s="15" t="str">
        <f>FonemaPT(A250,1)</f>
        <v>TJL</v>
      </c>
      <c r="E250" s="53" t="str">
        <f>IF(D250=D251,"Iguais","Diferentes")</f>
        <v>Iguais</v>
      </c>
      <c r="F250" s="8" t="str">
        <f>RSOUNDEX(A250)</f>
        <v>T24</v>
      </c>
      <c r="G250" s="53" t="str">
        <f>IF(F250=F251,"Iguais","Diferentes")</f>
        <v>Iguais</v>
      </c>
      <c r="H250" s="8" t="str">
        <f>FonemaPT(A250)</f>
        <v>TIJLA</v>
      </c>
      <c r="I250" s="53" t="str">
        <f>IF(H250=H251,"Iguais","Diferentes")</f>
        <v>Diferentes</v>
      </c>
    </row>
    <row r="251" spans="1:9" ht="15.75" customHeight="1" x14ac:dyDescent="0.25">
      <c r="A251" t="s">
        <v>173</v>
      </c>
      <c r="B251" s="8" t="str">
        <f>BuscaFoneticaBR(A251)</f>
        <v>TEJERA</v>
      </c>
      <c r="C251" s="53"/>
      <c r="D251" s="15" t="str">
        <f>FonemaPT(A251,1)</f>
        <v>TJL</v>
      </c>
      <c r="E251" s="53"/>
      <c r="F251" s="8" t="str">
        <f>RSOUNDEX(A251)</f>
        <v>T24</v>
      </c>
      <c r="G251" s="53"/>
      <c r="H251" s="8" t="str">
        <f>FonemaPT(A251)</f>
        <v>THIJELA</v>
      </c>
      <c r="I251" s="53"/>
    </row>
    <row r="252" spans="1:9" ht="15.75" x14ac:dyDescent="0.25">
      <c r="B252" s="8"/>
      <c r="D252" s="15"/>
      <c r="F252" s="8"/>
      <c r="H252" s="8"/>
    </row>
    <row r="253" spans="1:9" ht="18.75" customHeight="1" x14ac:dyDescent="0.3">
      <c r="A253" s="4" t="s">
        <v>174</v>
      </c>
      <c r="B253" s="8" t="str">
        <f>BuscaFoneticaBR(A253)</f>
        <v>PESETE</v>
      </c>
      <c r="C253" s="53" t="str">
        <f>IF(AND(B253=B254,B253=B255,B254=B255),"Iguais","Diferentes")</f>
        <v>Iguais</v>
      </c>
      <c r="D253" s="15" t="str">
        <f>FonemaPT(A253,1)</f>
        <v>PSMT</v>
      </c>
      <c r="E253" s="53" t="str">
        <f>IF(AND(D253=D254,D253=D255,D254=D255),"Iguais","Diferentes")</f>
        <v>Diferentes</v>
      </c>
      <c r="F253" s="8" t="str">
        <f>RSOUNDEX(A253)</f>
        <v>P625</v>
      </c>
      <c r="G253" s="53" t="str">
        <f>IF(AND(F253=F254,F253=F255,F254=F255),"Iguais","Diferentes")</f>
        <v>Diferentes</v>
      </c>
      <c r="H253" s="8" t="str">
        <f>FonemaPT(A253)</f>
        <v>PESEMTEIE</v>
      </c>
      <c r="I253" s="53" t="str">
        <f>IF(AND(H253=H254,H253=H255,H254=H255),"Iguais","Diferentes")</f>
        <v>Diferentes</v>
      </c>
    </row>
    <row r="254" spans="1:9" ht="18.75" customHeight="1" x14ac:dyDescent="0.3">
      <c r="A254" s="4" t="s">
        <v>214</v>
      </c>
      <c r="B254" s="8" t="str">
        <f>BuscaFoneticaBR(A254)</f>
        <v>PESETE</v>
      </c>
      <c r="C254" s="53"/>
      <c r="D254" s="15" t="str">
        <f>FonemaPT(A254,1)</f>
        <v>PSMT</v>
      </c>
      <c r="E254" s="53"/>
      <c r="F254" s="8" t="str">
        <f>RSOUNDEX(A254)</f>
        <v>P253</v>
      </c>
      <c r="G254" s="53"/>
      <c r="H254" s="8" t="str">
        <f>FonemaPT(A254)</f>
        <v>PESEMTEI</v>
      </c>
      <c r="I254" s="53"/>
    </row>
    <row r="255" spans="1:9" ht="18.75" customHeight="1" x14ac:dyDescent="0.3">
      <c r="A255" s="4" t="s">
        <v>175</v>
      </c>
      <c r="B255" s="8" t="str">
        <f>BuscaFoneticaBR(A255)</f>
        <v>PESETE</v>
      </c>
      <c r="C255" s="53"/>
      <c r="D255" s="15" t="str">
        <f>FonemaPT(A255,1)</f>
        <v>PST</v>
      </c>
      <c r="E255" s="53"/>
      <c r="F255" s="8" t="str">
        <f>RSOUNDEX(A255)</f>
        <v>P623</v>
      </c>
      <c r="G255" s="53"/>
      <c r="H255" s="8" t="str">
        <f>FonemaPT(A255)</f>
        <v>PESETEIE</v>
      </c>
      <c r="I255" s="53"/>
    </row>
    <row r="256" spans="1:9" ht="15.75" x14ac:dyDescent="0.25">
      <c r="B256" s="8"/>
      <c r="D256" s="15"/>
      <c r="F256" s="8"/>
      <c r="H256" s="8"/>
    </row>
    <row r="257" spans="1:9" ht="18.75" customHeight="1" x14ac:dyDescent="0.3">
      <c r="A257" s="4" t="s">
        <v>176</v>
      </c>
      <c r="B257" s="8" t="str">
        <f>BuscaFoneticaBR(A257)</f>
        <v>SOPETA</v>
      </c>
      <c r="C257" s="53" t="str">
        <f>IF(B257=B258,"Iguais","Diferentes")</f>
        <v>Iguais</v>
      </c>
      <c r="D257" s="15" t="str">
        <f>FonemaPT(A257,1)</f>
        <v>CPT</v>
      </c>
      <c r="E257" s="53" t="str">
        <f>IF(D257=D258,"Iguais","Diferentes")</f>
        <v>Diferentes</v>
      </c>
      <c r="F257" s="8" t="str">
        <f>RSOUNDEX(A257)</f>
        <v>C13</v>
      </c>
      <c r="G257" s="53" t="str">
        <f>IF(F257=F258,"Iguais","Diferentes")</f>
        <v>Diferentes</v>
      </c>
      <c r="H257" s="8" t="str">
        <f>FonemaPT(A257)</f>
        <v>CHUPETA</v>
      </c>
      <c r="I257" s="53" t="str">
        <f>IF(H257=H258,"Iguais","Diferentes")</f>
        <v>Diferentes</v>
      </c>
    </row>
    <row r="258" spans="1:9" ht="18.75" customHeight="1" x14ac:dyDescent="0.3">
      <c r="A258" s="4" t="s">
        <v>177</v>
      </c>
      <c r="B258" s="8" t="str">
        <f>BuscaFoneticaBR(A258)</f>
        <v>SOPETA</v>
      </c>
      <c r="C258" s="53"/>
      <c r="D258" s="15" t="str">
        <f>FonemaPT(A258,1)</f>
        <v>SPT</v>
      </c>
      <c r="E258" s="53"/>
      <c r="F258" s="8" t="str">
        <f>RSOUNDEX(A258)</f>
        <v>X13</v>
      </c>
      <c r="G258" s="53"/>
      <c r="H258" s="8" t="str">
        <f>FonemaPT(A258)</f>
        <v>SUPETA</v>
      </c>
      <c r="I258" s="53"/>
    </row>
    <row r="259" spans="1:9" ht="15.75" x14ac:dyDescent="0.25">
      <c r="B259" s="8"/>
      <c r="D259" s="15"/>
      <c r="F259" s="8"/>
      <c r="H259" s="8"/>
    </row>
    <row r="260" spans="1:9" ht="18.75" x14ac:dyDescent="0.3">
      <c r="A260" s="4" t="s">
        <v>201</v>
      </c>
      <c r="B260" s="8" t="str">
        <f>BuscaFoneticaBR(A260)</f>
        <v>ASEDO</v>
      </c>
      <c r="C260" s="53" t="str">
        <f>IF(B260=B261,"Iguais","Diferentes")</f>
        <v>Iguais</v>
      </c>
      <c r="D260" s="15" t="str">
        <f>FonemaPT(A260,1)</f>
        <v>SD</v>
      </c>
      <c r="E260" s="53" t="str">
        <f>IF(D260=D261,"Iguais","Diferentes")</f>
        <v>Iguais</v>
      </c>
      <c r="F260" s="8" t="str">
        <f>RSOUNDEX(A260)</f>
        <v>A23</v>
      </c>
      <c r="G260" s="53" t="str">
        <f>IF(F260=F261,"Iguais","Diferentes")</f>
        <v>Iguais</v>
      </c>
      <c r="H260" s="8" t="str">
        <f>FonemaPT(A260)</f>
        <v>ASIDUO</v>
      </c>
      <c r="I260" s="53" t="str">
        <f>IF(H260=H261,"Iguais","Diferentes")</f>
        <v>Diferentes</v>
      </c>
    </row>
    <row r="261" spans="1:9" ht="18.75" x14ac:dyDescent="0.3">
      <c r="A261" s="4" t="s">
        <v>202</v>
      </c>
      <c r="B261" s="8" t="str">
        <f>BuscaFoneticaBR(A261)</f>
        <v>ASEDO</v>
      </c>
      <c r="C261" s="53"/>
      <c r="D261" s="15" t="str">
        <f>FonemaPT(A261,1)</f>
        <v>SD</v>
      </c>
      <c r="E261" s="53"/>
      <c r="F261" s="8" t="str">
        <f>RSOUNDEX(A261)</f>
        <v>A23</v>
      </c>
      <c r="G261" s="53"/>
      <c r="H261" s="8" t="str">
        <f>FonemaPT(A261)</f>
        <v>ASIDO</v>
      </c>
      <c r="I261" s="53"/>
    </row>
    <row r="262" spans="1:9" ht="15.75" x14ac:dyDescent="0.25">
      <c r="B262" s="8"/>
      <c r="D262" s="15"/>
      <c r="F262" s="8"/>
      <c r="H262" s="8"/>
    </row>
    <row r="263" spans="1:9" ht="18.75" x14ac:dyDescent="0.3">
      <c r="A263" s="4" t="s">
        <v>203</v>
      </c>
      <c r="B263" s="8" t="str">
        <f>BuscaFoneticaBR(A263)</f>
        <v>KAMEMA KARETA</v>
      </c>
      <c r="C263" s="53" t="str">
        <f>IF(B263=B264,"Iguais","Diferentes")</f>
        <v>Iguais</v>
      </c>
      <c r="D263" s="15" t="str">
        <f>FonemaPT(A263,1)</f>
        <v>KM KLT</v>
      </c>
      <c r="E263" s="53" t="str">
        <f>IF(D263=D264,"Iguais","Diferentes")</f>
        <v>Iguais</v>
      </c>
      <c r="F263" s="8" t="str">
        <f>RSOUNDEX(A263)</f>
        <v>C552</v>
      </c>
      <c r="G263" s="53" t="str">
        <f>IF(F263=F264,"Iguais","Diferentes")</f>
        <v>Diferentes</v>
      </c>
      <c r="H263" s="8" t="str">
        <f>FonemaPT(A263)</f>
        <v>KMIMH KLETA</v>
      </c>
      <c r="I263" s="53" t="str">
        <f>IF(H263=H264,"Iguais","Diferentes")</f>
        <v>Diferentes</v>
      </c>
    </row>
    <row r="264" spans="1:9" ht="18.75" x14ac:dyDescent="0.3">
      <c r="A264" s="4" t="s">
        <v>204</v>
      </c>
      <c r="B264" s="8" t="str">
        <f>BuscaFoneticaBR(A264)</f>
        <v>KAMEMA KARETA</v>
      </c>
      <c r="C264" s="53"/>
      <c r="D264" s="15" t="str">
        <f>FonemaPT(A264,1)</f>
        <v>KM KLT</v>
      </c>
      <c r="E264" s="53"/>
      <c r="F264" s="8" t="str">
        <f>RSOUNDEX(A264)</f>
        <v>C555</v>
      </c>
      <c r="G264" s="53"/>
      <c r="H264" s="8" t="str">
        <f>FonemaPT(A264)</f>
        <v>KMIMHA KLETA</v>
      </c>
      <c r="I264" s="53"/>
    </row>
    <row r="265" spans="1:9" ht="15.75" x14ac:dyDescent="0.25">
      <c r="B265" s="8"/>
      <c r="D265" s="15"/>
      <c r="F265" s="8"/>
      <c r="H265" s="8"/>
    </row>
    <row r="266" spans="1:9" ht="18.75" x14ac:dyDescent="0.3">
      <c r="A266" s="4" t="s">
        <v>205</v>
      </c>
      <c r="B266" s="8" t="str">
        <f>BuscaFoneticaBR(A266)</f>
        <v>BAKORATE</v>
      </c>
      <c r="C266" s="53" t="str">
        <f>IF(B266=B267,"Iguais","Diferentes")</f>
        <v>Iguais</v>
      </c>
      <c r="D266" s="15" t="str">
        <f>FonemaPT(A266,1)</f>
        <v>BSKLMT</v>
      </c>
      <c r="E266" s="53" t="str">
        <f>IF(D266=D267,"Iguais","Diferentes")</f>
        <v>Diferentes</v>
      </c>
      <c r="F266" s="8" t="str">
        <f>RSOUNDEX(A266)</f>
        <v>B245</v>
      </c>
      <c r="G266" s="53" t="str">
        <f>IF(F266=F267,"Iguais","Diferentes")</f>
        <v>Diferentes</v>
      </c>
      <c r="H266" s="8" t="str">
        <f>FonemaPT(A266)</f>
        <v>BASKLAMTE</v>
      </c>
      <c r="I266" s="53" t="str">
        <f>IF(H266=H267,"Iguais","Diferentes")</f>
        <v>Diferentes</v>
      </c>
    </row>
    <row r="267" spans="1:9" ht="18.75" x14ac:dyDescent="0.3">
      <c r="A267" s="4" t="s">
        <v>206</v>
      </c>
      <c r="B267" s="8" t="str">
        <f>BuscaFoneticaBR(A267)</f>
        <v>BAKORATE</v>
      </c>
      <c r="C267" s="53"/>
      <c r="D267" s="15" t="str">
        <f>FonemaPT(A267,1)</f>
        <v>BKLT</v>
      </c>
      <c r="E267" s="53"/>
      <c r="F267" s="8" t="str">
        <f>RSOUNDEX(A267)</f>
        <v>B243</v>
      </c>
      <c r="G267" s="53"/>
      <c r="H267" s="8" t="str">
        <f>FonemaPT(A267)</f>
        <v>BAKLATE</v>
      </c>
      <c r="I267" s="53"/>
    </row>
    <row r="268" spans="1:9" ht="15.75" x14ac:dyDescent="0.25">
      <c r="B268" s="8"/>
      <c r="D268" s="15"/>
      <c r="F268" s="8"/>
      <c r="H268" s="8"/>
    </row>
    <row r="269" spans="1:9" ht="18.75" x14ac:dyDescent="0.3">
      <c r="A269" s="4" t="s">
        <v>207</v>
      </c>
      <c r="B269" s="8" t="str">
        <f>BuscaFoneticaBR(A269)</f>
        <v>ASE OMA SAVE</v>
      </c>
      <c r="C269" s="53" t="str">
        <f>IF(B269=B270,"Iguais","Diferentes")</f>
        <v>Iguais</v>
      </c>
      <c r="D269" s="15" t="str">
        <f>FonemaPT(A269,1)</f>
        <v>C M CV</v>
      </c>
      <c r="E269" s="53" t="str">
        <f>IF(D269=D270,"Iguais","Diferentes")</f>
        <v>Diferentes</v>
      </c>
      <c r="F269" s="8" t="str">
        <f>RSOUNDEX(A269)</f>
        <v>A252</v>
      </c>
      <c r="G269" s="53" t="str">
        <f>IF(F269=F270,"Iguais","Diferentes")</f>
        <v>Iguais</v>
      </c>
      <c r="H269" s="8" t="str">
        <f>FonemaPT(A269)</f>
        <v>ACHEI UMA CHAVE</v>
      </c>
      <c r="I269" s="53" t="str">
        <f>IF(H269=H270,"Iguais","Diferentes")</f>
        <v>Diferentes</v>
      </c>
    </row>
    <row r="270" spans="1:9" ht="18.75" x14ac:dyDescent="0.3">
      <c r="A270" s="4" t="s">
        <v>208</v>
      </c>
      <c r="B270" s="8" t="str">
        <f>BuscaFoneticaBR(A270)</f>
        <v>ASE OMA SAVE</v>
      </c>
      <c r="C270" s="53"/>
      <c r="D270" s="15" t="str">
        <f>FonemaPT(A270,1)</f>
        <v>S M SV</v>
      </c>
      <c r="E270" s="53"/>
      <c r="F270" s="8" t="str">
        <f>RSOUNDEX(A270)</f>
        <v>A252</v>
      </c>
      <c r="G270" s="53"/>
      <c r="H270" s="8" t="str">
        <f>FonemaPT(A270)</f>
        <v>ASEI UMA SAVI</v>
      </c>
      <c r="I270" s="53"/>
    </row>
    <row r="271" spans="1:9" ht="15.75" x14ac:dyDescent="0.25">
      <c r="B271" s="8"/>
      <c r="D271" s="15"/>
      <c r="F271" s="8"/>
      <c r="H271" s="8"/>
    </row>
    <row r="272" spans="1:9" ht="18.75" x14ac:dyDescent="0.3">
      <c r="A272" s="4" t="s">
        <v>209</v>
      </c>
      <c r="B272" s="8" t="str">
        <f>BuscaFoneticaBR(A272)</f>
        <v>AREASA</v>
      </c>
      <c r="C272" s="53" t="str">
        <f>IF(B272=B273,"Iguais","Diferentes")</f>
        <v>Iguais</v>
      </c>
      <c r="D272" s="15" t="str">
        <f>FonemaPT(A272,1)</f>
        <v>LMS</v>
      </c>
      <c r="E272" s="53" t="str">
        <f>IF(D272=D273,"Iguais","Diferentes")</f>
        <v>Iguais</v>
      </c>
      <c r="F272" s="8" t="str">
        <f>RSOUNDEX(A272)</f>
        <v>A45</v>
      </c>
      <c r="G272" s="53" t="str">
        <f>IF(F272=F273,"Iguais","Diferentes")</f>
        <v>Diferentes</v>
      </c>
      <c r="H272" s="8" t="str">
        <f>FonemaPT(A272)</f>
        <v>ALIAMSA</v>
      </c>
      <c r="I272" s="53" t="str">
        <f>IF(H272=H273,"Iguais","Diferentes")</f>
        <v>Iguais</v>
      </c>
    </row>
    <row r="273" spans="1:9" ht="18.75" x14ac:dyDescent="0.3">
      <c r="A273" s="4" t="s">
        <v>210</v>
      </c>
      <c r="B273" s="8" t="str">
        <f>BuscaFoneticaBR(A273)</f>
        <v>AREASA</v>
      </c>
      <c r="C273" s="53"/>
      <c r="D273" s="15" t="str">
        <f>FonemaPT(A273,1)</f>
        <v>LMS</v>
      </c>
      <c r="E273" s="53"/>
      <c r="F273" s="8" t="str">
        <f>RSOUNDEX(A273)</f>
        <v>A452</v>
      </c>
      <c r="G273" s="53"/>
      <c r="H273" s="8" t="str">
        <f>FonemaPT(A273)</f>
        <v>ALIAMSA</v>
      </c>
      <c r="I273" s="53"/>
    </row>
    <row r="274" spans="1:9" ht="15.75" x14ac:dyDescent="0.25">
      <c r="B274" s="8"/>
      <c r="D274" s="15"/>
      <c r="F274" s="8"/>
      <c r="H274" s="8"/>
    </row>
    <row r="275" spans="1:9" ht="18.75" x14ac:dyDescent="0.3">
      <c r="A275" s="4" t="s">
        <v>176</v>
      </c>
      <c r="B275" s="8" t="str">
        <f>BuscaFoneticaBR(A275)</f>
        <v>SOPETA</v>
      </c>
      <c r="C275" s="53" t="str">
        <f>IF(B275=B276,"Iguais","Diferentes")</f>
        <v>Iguais</v>
      </c>
      <c r="D275" s="15" t="str">
        <f>FonemaPT(A275,1)</f>
        <v>CPT</v>
      </c>
      <c r="E275" s="53" t="str">
        <f>IF(D275=D276,"Iguais","Diferentes")</f>
        <v>Diferentes</v>
      </c>
      <c r="F275" s="8" t="str">
        <f>RSOUNDEX(A275)</f>
        <v>C13</v>
      </c>
      <c r="G275" s="53" t="str">
        <f>IF(F275=F276,"Iguais","Diferentes")</f>
        <v>Diferentes</v>
      </c>
      <c r="H275" s="8" t="str">
        <f>FonemaPT(A275)</f>
        <v>CHUPETA</v>
      </c>
      <c r="I275" s="53" t="str">
        <f>IF(H275=H276,"Iguais","Diferentes")</f>
        <v>Diferentes</v>
      </c>
    </row>
    <row r="276" spans="1:9" ht="18.75" x14ac:dyDescent="0.3">
      <c r="A276" s="4" t="s">
        <v>177</v>
      </c>
      <c r="B276" s="8" t="str">
        <f>BuscaFoneticaBR(A276)</f>
        <v>SOPETA</v>
      </c>
      <c r="C276" s="53"/>
      <c r="D276" s="15" t="str">
        <f>FonemaPT(A276,1)</f>
        <v>SPT</v>
      </c>
      <c r="E276" s="53"/>
      <c r="F276" s="8" t="str">
        <f>RSOUNDEX(A276)</f>
        <v>X13</v>
      </c>
      <c r="G276" s="53"/>
      <c r="H276" s="8" t="str">
        <f>FonemaPT(A276)</f>
        <v>SUPETA</v>
      </c>
      <c r="I276" s="53"/>
    </row>
    <row r="277" spans="1:9" ht="15.75" x14ac:dyDescent="0.25">
      <c r="B277" s="8"/>
      <c r="D277" s="15"/>
      <c r="F277" s="8"/>
      <c r="H277" s="8"/>
    </row>
    <row r="278" spans="1:9" ht="18.75" x14ac:dyDescent="0.3">
      <c r="A278" s="4" t="s">
        <v>216</v>
      </c>
      <c r="B278" s="8" t="str">
        <f>BuscaFoneticaBR(A278)</f>
        <v>SEOVEA SETEMA ADADE JE</v>
      </c>
      <c r="C278" s="53" t="str">
        <f>IF(B278=B279,"Iguais","Diferentes")</f>
        <v>Iguais</v>
      </c>
      <c r="D278" s="15" t="str">
        <f>FonemaPT(A278,1)</f>
        <v>SLV CLTM D MLD JM</v>
      </c>
      <c r="E278" s="53" t="str">
        <f>IF(D278=D279,"Iguais","Diferentes")</f>
        <v>Diferentes</v>
      </c>
      <c r="F278" s="8" t="str">
        <f>RSOUNDEX(A278)</f>
        <v>S412</v>
      </c>
      <c r="G278" s="53" t="str">
        <f>IF(F278=F279,"Iguais","Diferentes")</f>
        <v>Iguais</v>
      </c>
      <c r="H278" s="8" t="str">
        <f>FonemaPT(A278)</f>
        <v>SILVIA CHLITIMA DE AMLADE JM</v>
      </c>
      <c r="I278" s="53" t="str">
        <f>IF(H278=H279,"Iguais","Diferentes")</f>
        <v>Diferentes</v>
      </c>
    </row>
    <row r="279" spans="1:9" ht="18.75" x14ac:dyDescent="0.3">
      <c r="A279" s="4" t="s">
        <v>217</v>
      </c>
      <c r="B279" s="8" t="str">
        <f>BuscaFoneticaBR(A279)</f>
        <v>SEOVEA SETEMA ADADE JE</v>
      </c>
      <c r="C279" s="53"/>
      <c r="D279" s="15" t="str">
        <f>FonemaPT(A279,1)</f>
        <v>SLV CLTM MD J</v>
      </c>
      <c r="E279" s="53"/>
      <c r="F279" s="8" t="str">
        <f>RSOUNDEX(A279)</f>
        <v>S412</v>
      </c>
      <c r="G279" s="53"/>
      <c r="H279" s="8" t="str">
        <f>FonemaPT(A279)</f>
        <v>SILVIA CLITIMA AMADE J</v>
      </c>
      <c r="I279" s="53"/>
    </row>
    <row r="280" spans="1:9" ht="15.75" x14ac:dyDescent="0.25">
      <c r="B280" s="8"/>
      <c r="D280" s="15"/>
      <c r="F280" s="8"/>
      <c r="H280" s="8"/>
    </row>
    <row r="281" spans="1:9" ht="18.75" x14ac:dyDescent="0.3">
      <c r="A281" s="4" t="s">
        <v>220</v>
      </c>
      <c r="B281" s="8" t="str">
        <f>BuscaFoneticaBR(A281)</f>
        <v>ASETOMATEKO</v>
      </c>
      <c r="C281" s="53" t="str">
        <f>IF(B281=B282,"Iguais","Diferentes")</f>
        <v>Iguais</v>
      </c>
      <c r="D281" s="15" t="str">
        <f>FonemaPT(A281,1)</f>
        <v>SMTMTK</v>
      </c>
      <c r="E281" s="53" t="str">
        <f>IF(D281=D282,"Iguais","Diferentes")</f>
        <v>Iguais</v>
      </c>
      <c r="F281" s="8" t="str">
        <f>RSOUNDEX(A281)</f>
        <v>A253</v>
      </c>
      <c r="G281" s="53" t="str">
        <f>IF(F281=F282,"Iguais","Diferentes")</f>
        <v>Iguais</v>
      </c>
      <c r="H281" s="8" t="str">
        <f>FonemaPT(A281)</f>
        <v>ASIMTOMATIK</v>
      </c>
      <c r="I281" s="53" t="str">
        <f>IF(H281=H282,"Iguais","Diferentes")</f>
        <v>Iguais</v>
      </c>
    </row>
    <row r="282" spans="1:9" ht="18.75" x14ac:dyDescent="0.3">
      <c r="A282" s="4" t="s">
        <v>221</v>
      </c>
      <c r="B282" s="8" t="str">
        <f>BuscaFoneticaBR(A282)</f>
        <v>ASETOMATEKO</v>
      </c>
      <c r="C282" s="53"/>
      <c r="D282" s="15" t="str">
        <f>FonemaPT(A282,1)</f>
        <v>SMTMTK</v>
      </c>
      <c r="E282" s="53"/>
      <c r="F282" s="8" t="str">
        <f>RSOUNDEX(A282)</f>
        <v>A253</v>
      </c>
      <c r="G282" s="53"/>
      <c r="H282" s="8" t="str">
        <f>FonemaPT(A282)</f>
        <v>ASIMTOMATIK</v>
      </c>
      <c r="I282" s="53"/>
    </row>
    <row r="283" spans="1:9" ht="15.75" x14ac:dyDescent="0.25">
      <c r="B283" s="8"/>
      <c r="D283" s="15"/>
      <c r="F283" s="8"/>
      <c r="H283" s="8"/>
    </row>
    <row r="284" spans="1:9" ht="18.75" customHeight="1" x14ac:dyDescent="0.25">
      <c r="A284" t="s">
        <v>180</v>
      </c>
      <c r="B284" s="8" t="str">
        <f>BuscaFoneticaBR(A284)</f>
        <v>SETE TO</v>
      </c>
      <c r="C284" s="53" t="str">
        <f>IF(B284=B285,"Iguais","Diferentes")</f>
        <v>Iguais</v>
      </c>
      <c r="D284" s="15" t="str">
        <f>FonemaPT(A284,1)</f>
        <v>ST T</v>
      </c>
      <c r="E284" s="53" t="str">
        <f>IF(D284=D285,"Iguais","Diferentes")</f>
        <v>Iguais</v>
      </c>
      <c r="F284" s="8" t="str">
        <f>RSOUNDEX(A284)</f>
        <v>C336</v>
      </c>
      <c r="G284" s="53" t="str">
        <f>IF(F284=F285,"Iguais","Diferentes")</f>
        <v>Diferentes</v>
      </c>
      <c r="H284" s="8" t="str">
        <f>FonemaPT(A284)</f>
        <v>SITI TOU</v>
      </c>
      <c r="I284" s="53" t="str">
        <f>IF(H284=H285,"Iguais","Diferentes")</f>
        <v>Diferentes</v>
      </c>
    </row>
    <row r="285" spans="1:9" ht="18.75" customHeight="1" x14ac:dyDescent="0.25">
      <c r="A285" t="s">
        <v>181</v>
      </c>
      <c r="B285" s="8" t="str">
        <f>BuscaFoneticaBR(A285)</f>
        <v>SETE TO</v>
      </c>
      <c r="C285" s="53"/>
      <c r="D285" s="15" t="str">
        <f>FonemaPT(A285,1)</f>
        <v>ST T</v>
      </c>
      <c r="E285" s="53"/>
      <c r="F285" s="8" t="str">
        <f>RSOUNDEX(A285)</f>
        <v>S336</v>
      </c>
      <c r="G285" s="53"/>
      <c r="H285" s="8" t="str">
        <f>FonemaPT(A285)</f>
        <v>SITI TU</v>
      </c>
      <c r="I285" s="53"/>
    </row>
    <row r="286" spans="1:9" ht="15.75" x14ac:dyDescent="0.25">
      <c r="B286" s="8"/>
      <c r="D286" s="15"/>
      <c r="F286" s="8"/>
      <c r="H286" s="8"/>
    </row>
    <row r="287" spans="1:9" ht="15.75" customHeight="1" x14ac:dyDescent="0.25">
      <c r="A287" t="s">
        <v>184</v>
      </c>
      <c r="B287" s="8" t="str">
        <f>BuscaFoneticaBR(A287)</f>
        <v>DETETOESA</v>
      </c>
      <c r="C287" s="53" t="str">
        <f>IF(B287=B288,"Iguais","Diferentes")</f>
        <v>Iguais</v>
      </c>
      <c r="D287" s="15" t="str">
        <f>FonemaPT(A287,1)</f>
        <v>DTS</v>
      </c>
      <c r="E287" s="53" t="str">
        <f>IF(D287=D288,"Iguais","Diferentes")</f>
        <v>Iguais</v>
      </c>
      <c r="F287" s="8" t="str">
        <f>RSOUNDEX(A287)</f>
        <v>D233</v>
      </c>
      <c r="G287" s="53" t="str">
        <f>IF(F287=F288,"Iguais","Diferentes")</f>
        <v>Diferentes</v>
      </c>
      <c r="H287" s="8" t="str">
        <f>FonemaPT(A287)</f>
        <v>DETITUIS</v>
      </c>
      <c r="I287" s="53" t="str">
        <f>IF(H287=H288,"Iguais","Diferentes")</f>
        <v>Iguais</v>
      </c>
    </row>
    <row r="288" spans="1:9" ht="15.75" customHeight="1" x14ac:dyDescent="0.25">
      <c r="A288" t="s">
        <v>185</v>
      </c>
      <c r="B288" s="8" t="str">
        <f>BuscaFoneticaBR(A288)</f>
        <v>DETETOESA</v>
      </c>
      <c r="C288" s="53"/>
      <c r="D288" s="15" t="str">
        <f>FonemaPT(A288,1)</f>
        <v>DTS</v>
      </c>
      <c r="E288" s="53"/>
      <c r="F288" s="8" t="str">
        <f>RSOUNDEX(A288)</f>
        <v>D332</v>
      </c>
      <c r="G288" s="53"/>
      <c r="H288" s="8" t="str">
        <f>FonemaPT(A288)</f>
        <v>DETITUIS</v>
      </c>
      <c r="I288" s="53"/>
    </row>
    <row r="289" spans="1:9" ht="15.75" x14ac:dyDescent="0.25">
      <c r="B289" s="8"/>
      <c r="D289" s="15"/>
      <c r="F289" s="8"/>
      <c r="H289" s="8"/>
    </row>
    <row r="290" spans="1:9" ht="15.75" customHeight="1" x14ac:dyDescent="0.25">
      <c r="A290" t="s">
        <v>182</v>
      </c>
      <c r="B290" s="8" t="str">
        <f>BuscaFoneticaBR(A290)</f>
        <v>FORA TE KAESA SEA SAROTO</v>
      </c>
      <c r="C290" s="53" t="str">
        <f>IF(B290=B291,"Iguais","Diferentes")</f>
        <v>Iguais</v>
      </c>
      <c r="D290" s="15" t="str">
        <f>FonemaPT(A290,1)</f>
        <v>FL T KS C D CLT</v>
      </c>
      <c r="E290" s="53" t="str">
        <f>IF(D290=D291,"Iguais","Diferentes")</f>
        <v>Diferentes</v>
      </c>
      <c r="F290" s="8" t="str">
        <f>RSOUNDEX(A290)</f>
        <v>F653</v>
      </c>
      <c r="G290" s="53" t="str">
        <f>IF(F290=F291,"Iguais","Diferentes")</f>
        <v>Diferentes</v>
      </c>
      <c r="H290" s="8" t="str">
        <f>FonemaPT(A290)</f>
        <v>FOLA TE KISA CHEIA DE CHALUTO</v>
      </c>
      <c r="I290" s="53" t="str">
        <f>IF(H290=H291,"Iguais","Diferentes")</f>
        <v>Diferentes</v>
      </c>
    </row>
    <row r="291" spans="1:9" ht="15.75" customHeight="1" x14ac:dyDescent="0.25">
      <c r="A291" t="s">
        <v>183</v>
      </c>
      <c r="B291" s="8" t="str">
        <f>BuscaFoneticaBR(A291)</f>
        <v>FORA TE KAESA SEA SAROTO</v>
      </c>
      <c r="C291" s="53"/>
      <c r="D291" s="15" t="str">
        <f>FonemaPT(A291,1)</f>
        <v>FL T KC S D SLT</v>
      </c>
      <c r="E291" s="53"/>
      <c r="F291" s="8" t="str">
        <f>RSOUNDEX(A291)</f>
        <v>F636</v>
      </c>
      <c r="G291" s="53"/>
      <c r="H291" s="8" t="str">
        <f>FonemaPT(A291)</f>
        <v>FOL TE KICHA SEIA DE SALUTHO</v>
      </c>
      <c r="I291" s="53"/>
    </row>
    <row r="292" spans="1:9" ht="15.75" x14ac:dyDescent="0.25">
      <c r="B292" s="8"/>
      <c r="D292" s="15"/>
      <c r="F292" s="8"/>
      <c r="H292" s="8"/>
    </row>
    <row r="293" spans="1:9" ht="18.75" customHeight="1" x14ac:dyDescent="0.25">
      <c r="A293" t="s">
        <v>186</v>
      </c>
      <c r="B293" s="8" t="str">
        <f>BuscaFoneticaBR(A293)</f>
        <v>O KAMEMA DEPEKO PEMAKO</v>
      </c>
      <c r="C293" s="53" t="str">
        <f>IF(B293=B294,"Iguais","Diferentes")</f>
        <v>Iguais</v>
      </c>
      <c r="D293" s="15" t="str">
        <f>FonemaPT(A293,1)</f>
        <v xml:space="preserve"> KM DSPMK D PMSK</v>
      </c>
      <c r="E293" s="53" t="str">
        <f>IF(D293=D294,"Iguais","Diferentes")</f>
        <v>Iguais</v>
      </c>
      <c r="F293" s="8" t="str">
        <f>RSOUNDEX(A293)</f>
        <v>O255</v>
      </c>
      <c r="G293" s="53" t="str">
        <f>IF(F293=F294,"Iguais","Diferentes")</f>
        <v>Iguais</v>
      </c>
      <c r="H293" s="8" t="str">
        <f>FonemaPT(A293)</f>
        <v>O KMIMH DESPEMKU DO PEMHASK</v>
      </c>
      <c r="I293" s="53" t="str">
        <f>IF(H293=H294,"Iguais","Diferentes")</f>
        <v>Diferentes</v>
      </c>
    </row>
    <row r="294" spans="1:9" ht="18.75" customHeight="1" x14ac:dyDescent="0.25">
      <c r="A294" t="s">
        <v>187</v>
      </c>
      <c r="B294" s="8" t="str">
        <f>BuscaFoneticaBR(A294)</f>
        <v>O KAMEMA DEPEKO PEMAKO</v>
      </c>
      <c r="C294" s="53"/>
      <c r="D294" s="15" t="str">
        <f>FonemaPT(A294,1)</f>
        <v xml:space="preserve"> KM DSPMK D PMSK</v>
      </c>
      <c r="E294" s="53"/>
      <c r="F294" s="8" t="str">
        <f>RSOUNDEX(A294)</f>
        <v>O255</v>
      </c>
      <c r="G294" s="53"/>
      <c r="H294" s="8" t="str">
        <f>FonemaPT(A294)</f>
        <v>O KMIM DISPEMKU DO PEMASK</v>
      </c>
      <c r="I294" s="53"/>
    </row>
    <row r="295" spans="1:9" ht="15.75" x14ac:dyDescent="0.25">
      <c r="B295" s="8"/>
      <c r="D295" s="15"/>
      <c r="F295" s="8"/>
      <c r="H295" s="8"/>
    </row>
    <row r="296" spans="1:9" ht="15.75" customHeight="1" x14ac:dyDescent="0.25">
      <c r="A296" t="s">
        <v>188</v>
      </c>
      <c r="B296" s="8" t="str">
        <f>BuscaFoneticaBR(A296)</f>
        <v>EKOTETOSEOMARESEMAMETE</v>
      </c>
      <c r="C296" s="53" t="str">
        <f>IF(B296=B297,"Iguais","Diferentes")</f>
        <v>Iguais</v>
      </c>
      <c r="D296" s="15" t="str">
        <f>FonemaPT(A296,1)</f>
        <v>MKMTSMLSMT</v>
      </c>
      <c r="E296" s="53" t="str">
        <f>IF(D296=D297,"Iguais","Diferentes")</f>
        <v>Diferentes</v>
      </c>
      <c r="F296" s="8" t="str">
        <f>RSOUNDEX(A296)</f>
        <v>I525</v>
      </c>
      <c r="G296" s="53" t="str">
        <f>IF(F296=F297,"Iguais","Diferentes")</f>
        <v>Diferentes</v>
      </c>
      <c r="H296" s="8" t="str">
        <f>FonemaPT(A296)</f>
        <v>IMKMTITUSIOMALISIMAMEMTE</v>
      </c>
      <c r="I296" s="53" t="str">
        <f>IF(H296=H297,"Iguais","Diferentes")</f>
        <v>Diferentes</v>
      </c>
    </row>
    <row r="297" spans="1:9" ht="18.95" customHeight="1" x14ac:dyDescent="0.25">
      <c r="A297" t="s">
        <v>189</v>
      </c>
      <c r="B297" s="8" t="str">
        <f>BuscaFoneticaBR(A297)</f>
        <v>EKOTETOSEOMARESEMAMETE</v>
      </c>
      <c r="C297" s="53"/>
      <c r="D297" s="15" t="str">
        <f>FonemaPT(A297,1)</f>
        <v>KMTSMLSMT</v>
      </c>
      <c r="E297" s="53"/>
      <c r="F297" s="8" t="str">
        <f>RSOUNDEX(A297)</f>
        <v>I253</v>
      </c>
      <c r="G297" s="53"/>
      <c r="H297" s="8" t="str">
        <f>FonemaPT(A297)</f>
        <v>IKMTITUSIOMALISIMAMETE</v>
      </c>
      <c r="I297" s="53"/>
    </row>
    <row r="298" spans="1:9" ht="18.95" customHeight="1" x14ac:dyDescent="0.25">
      <c r="B298" s="8"/>
      <c r="C298" s="5"/>
      <c r="D298" s="15"/>
      <c r="E298" s="5"/>
      <c r="F298" s="8"/>
      <c r="G298" s="5"/>
      <c r="H298" s="8"/>
      <c r="I298" s="5"/>
    </row>
    <row r="299" spans="1:9" ht="18.95" customHeight="1" x14ac:dyDescent="0.25">
      <c r="A299" t="s">
        <v>192</v>
      </c>
      <c r="B299" s="8" t="str">
        <f>BuscaFoneticaBR(A299)</f>
        <v>ATO BAGA</v>
      </c>
      <c r="C299" s="53" t="str">
        <f>IF(B299=B300,"Iguais","Diferentes")</f>
        <v>Iguais</v>
      </c>
      <c r="D299" s="15" t="str">
        <f>FonemaPT(A299,1)</f>
        <v>T BG</v>
      </c>
      <c r="E299" s="53" t="str">
        <f>IF(D299=D300,"Iguais","Diferentes")</f>
        <v>Iguais</v>
      </c>
      <c r="F299" s="8" t="str">
        <f>RSOUNDEX(A299)</f>
        <v>A636</v>
      </c>
      <c r="G299" s="53" t="str">
        <f>IF(F299=F300,"Iguais","Diferentes")</f>
        <v>Diferentes</v>
      </c>
      <c r="H299" s="8" t="str">
        <f>FonemaPT(A299)</f>
        <v>ATHU BAGA</v>
      </c>
      <c r="I299" s="53" t="str">
        <f>IF(H299=H300,"Iguais","Diferentes")</f>
        <v>Diferentes</v>
      </c>
    </row>
    <row r="300" spans="1:9" ht="18.95" customHeight="1" x14ac:dyDescent="0.25">
      <c r="A300" t="s">
        <v>193</v>
      </c>
      <c r="B300" s="8" t="str">
        <f>BuscaFoneticaBR(A300)</f>
        <v>ATO BAGA</v>
      </c>
      <c r="C300" s="53"/>
      <c r="D300" s="15" t="str">
        <f>FonemaPT(A300,1)</f>
        <v>T BG</v>
      </c>
      <c r="E300" s="53"/>
      <c r="F300" s="8" t="str">
        <f>RSOUNDEX(A300)</f>
        <v>A361</v>
      </c>
      <c r="G300" s="53"/>
      <c r="H300" s="8" t="str">
        <f>FonemaPT(A300)</f>
        <v>ATU BAGA</v>
      </c>
      <c r="I300" s="53"/>
    </row>
    <row r="301" spans="1:9" ht="18.95" customHeight="1" x14ac:dyDescent="0.25">
      <c r="B301" s="8"/>
      <c r="D301" s="15"/>
      <c r="F301" s="8"/>
      <c r="H301" s="8"/>
    </row>
    <row r="302" spans="1:9" ht="18.95" customHeight="1" x14ac:dyDescent="0.25">
      <c r="A302" t="s">
        <v>211</v>
      </c>
      <c r="B302" s="8" t="str">
        <f>BuscaFoneticaBR(A302)</f>
        <v>JOMATA</v>
      </c>
      <c r="C302" s="53" t="str">
        <f>IF(B302=B303,"Iguais","Diferentes")</f>
        <v>Iguais</v>
      </c>
      <c r="D302" s="15" t="str">
        <f>FonemaPT(A302,1)</f>
        <v>JMT</v>
      </c>
      <c r="E302" s="53" t="str">
        <f>IF(D302=D303,"Iguais","Diferentes")</f>
        <v>Iguais</v>
      </c>
      <c r="F302" s="8" t="str">
        <f>RSOUNDEX(A302)</f>
        <v>J535</v>
      </c>
      <c r="G302" s="53" t="str">
        <f>IF(F302=F303,"Iguais","Diferentes")</f>
        <v>Iguais</v>
      </c>
      <c r="H302" s="8" t="str">
        <f>FonemaPT(A302)</f>
        <v>JHOMATHA</v>
      </c>
      <c r="I302" s="53" t="str">
        <f>IF(H302=H303,"Iguais","Diferentes")</f>
        <v>Diferentes</v>
      </c>
    </row>
    <row r="303" spans="1:9" ht="18.95" customHeight="1" x14ac:dyDescent="0.25">
      <c r="A303" t="s">
        <v>212</v>
      </c>
      <c r="B303" s="8" t="str">
        <f>BuscaFoneticaBR(A303)</f>
        <v>JOMATA</v>
      </c>
      <c r="C303" s="53"/>
      <c r="D303" s="15" t="str">
        <f>FonemaPT(A303,1)</f>
        <v>JMT</v>
      </c>
      <c r="E303" s="53"/>
      <c r="F303" s="8" t="str">
        <f>RSOUNDEX(A303)</f>
        <v>J535</v>
      </c>
      <c r="G303" s="53"/>
      <c r="H303" s="8" t="str">
        <f>FonemaPT(A303)</f>
        <v>JOMATA</v>
      </c>
      <c r="I303" s="53"/>
    </row>
    <row r="304" spans="1:9" ht="18.95" customHeight="1" x14ac:dyDescent="0.25">
      <c r="B304" s="8"/>
      <c r="D304" s="15"/>
      <c r="F304" s="8"/>
      <c r="H304" s="8"/>
    </row>
    <row r="305" spans="1:9" ht="18.95" customHeight="1" x14ac:dyDescent="0.25">
      <c r="A305" t="s">
        <v>197</v>
      </c>
      <c r="B305" s="8" t="str">
        <f>BuscaFoneticaBR(A305)</f>
        <v>RAKEO FETA KORADEME MORAE</v>
      </c>
      <c r="C305" s="53" t="str">
        <f>IF(B305=B306,"Iguais","Diferentes")</f>
        <v>Iguais</v>
      </c>
      <c r="D305" s="15" t="str">
        <f>FonemaPT(A305,1)</f>
        <v>LK FLT KLDM D ML</v>
      </c>
      <c r="E305" s="53" t="str">
        <f>IF(D305=D306,"Iguais","Diferentes")</f>
        <v>Diferentes</v>
      </c>
      <c r="F305" s="8" t="str">
        <f>RSOUNDEX(A305)</f>
        <v>R241</v>
      </c>
      <c r="G305" s="53" t="str">
        <f>IF(F305=F306,"Iguais","Diferentes")</f>
        <v>Diferentes</v>
      </c>
      <c r="H305" s="8" t="str">
        <f>FonemaPT(A305)</f>
        <v>LAKUE FLEITA KLADIMI DE MOLAE</v>
      </c>
      <c r="I305" s="53" t="str">
        <f>IF(H305=H306,"Iguais","Diferentes")</f>
        <v>Diferentes</v>
      </c>
    </row>
    <row r="306" spans="1:9" ht="18.95" customHeight="1" x14ac:dyDescent="0.25">
      <c r="A306" t="s">
        <v>213</v>
      </c>
      <c r="B306" s="8" t="str">
        <f>BuscaFoneticaBR(A306)</f>
        <v>RAKEO FETA KORADEME MORAE</v>
      </c>
      <c r="C306" s="53"/>
      <c r="D306" s="15" t="str">
        <f>FonemaPT(A306,1)</f>
        <v>LK FT KLDM ML</v>
      </c>
      <c r="E306" s="53"/>
      <c r="F306" s="8" t="str">
        <f>RSOUNDEX(A306)</f>
        <v>R213</v>
      </c>
      <c r="G306" s="53"/>
      <c r="H306" s="8" t="str">
        <f>FonemaPT(A306)</f>
        <v>LAKUEU FEITHA KLADIMI MOLAI</v>
      </c>
      <c r="I306" s="53"/>
    </row>
    <row r="307" spans="1:9" ht="18.95" customHeight="1" x14ac:dyDescent="0.25">
      <c r="B307" s="8"/>
      <c r="D307" s="15"/>
      <c r="F307" s="8"/>
      <c r="H307" s="8"/>
    </row>
    <row r="308" spans="1:9" ht="18.95" customHeight="1" x14ac:dyDescent="0.25">
      <c r="A308" t="s">
        <v>198</v>
      </c>
      <c r="B308" s="8" t="str">
        <f>BuscaFoneticaBR(A308)</f>
        <v>BESEGA</v>
      </c>
      <c r="C308" s="53" t="str">
        <f>IF(B308=B309,"Iguais","Diferentes")</f>
        <v>Iguais</v>
      </c>
      <c r="D308" s="15" t="str">
        <f>FonemaPT(A308,1)</f>
        <v>BSG</v>
      </c>
      <c r="E308" s="53" t="str">
        <f>IF(D308=D309,"Iguais","Diferentes")</f>
        <v>Diferentes</v>
      </c>
      <c r="F308" s="8" t="str">
        <f>RSOUNDEX(A308)</f>
        <v>B22</v>
      </c>
      <c r="G308" s="53" t="str">
        <f>IF(F308=F309,"Iguais","Diferentes")</f>
        <v>Iguais</v>
      </c>
      <c r="H308" s="8" t="str">
        <f>FonemaPT(A308)</f>
        <v>BESIGA</v>
      </c>
      <c r="I308" s="53" t="str">
        <f>IF(H308=H309,"Iguais","Diferentes")</f>
        <v>Diferentes</v>
      </c>
    </row>
    <row r="309" spans="1:9" ht="18.95" customHeight="1" x14ac:dyDescent="0.25">
      <c r="A309" t="s">
        <v>199</v>
      </c>
      <c r="B309" s="8" t="str">
        <f>BuscaFoneticaBR(A309)</f>
        <v>BESEGA</v>
      </c>
      <c r="C309" s="53"/>
      <c r="D309" s="15" t="str">
        <f>FonemaPT(A309,1)</f>
        <v>BCG</v>
      </c>
      <c r="E309" s="53"/>
      <c r="F309" s="8" t="str">
        <f>RSOUNDEX(A309)</f>
        <v>B22</v>
      </c>
      <c r="G309" s="53"/>
      <c r="H309" s="8" t="str">
        <f>FonemaPT(A309)</f>
        <v>BICHIGA</v>
      </c>
      <c r="I309" s="53"/>
    </row>
    <row r="310" spans="1:9" ht="18.95" customHeight="1" x14ac:dyDescent="0.25">
      <c r="B310" s="8"/>
      <c r="C310" s="5"/>
      <c r="D310" s="15"/>
      <c r="E310" s="5"/>
      <c r="F310" s="8"/>
      <c r="G310" s="5"/>
      <c r="H310" s="8"/>
      <c r="I310" s="5"/>
    </row>
    <row r="311" spans="1:9" ht="18.95" customHeight="1" x14ac:dyDescent="0.25">
      <c r="A311" t="s">
        <v>200</v>
      </c>
      <c r="B311" s="8" t="str">
        <f>BuscaFoneticaBR(A311)</f>
        <v>MEMA AVO TEMA O KASORO PODE</v>
      </c>
      <c r="C311" s="53" t="str">
        <f>IF(B311=B312,"Iguais","Diferentes")</f>
        <v>Iguais</v>
      </c>
      <c r="D311" s="15" t="str">
        <f>FonemaPT(A311,1)</f>
        <v>M V TM KCL PDL</v>
      </c>
      <c r="E311" s="53" t="str">
        <f>IF(D311=D312,"Iguais","Diferentes")</f>
        <v>Diferentes</v>
      </c>
      <c r="F311" s="8" t="str">
        <f>RSOUNDEX(A311)</f>
        <v>M513</v>
      </c>
      <c r="G311" s="53" t="str">
        <f>IF(F311=F312,"Iguais","Diferentes")</f>
        <v>Iguais</v>
      </c>
      <c r="H311" s="8" t="str">
        <f>FonemaPT(A311)</f>
        <v>MIMHA AVO TIMHA U KCHOLO PODLE</v>
      </c>
      <c r="I311" s="53" t="str">
        <f>IF(H311=H312,"Iguais","Diferentes")</f>
        <v>Diferentes</v>
      </c>
    </row>
    <row r="312" spans="1:9" ht="18.95" customHeight="1" x14ac:dyDescent="0.25">
      <c r="A312" t="s">
        <v>215</v>
      </c>
      <c r="B312" s="8" t="str">
        <f>BuscaFoneticaBR(A312)</f>
        <v>MEMA AVO TEMA O KASORO PODE</v>
      </c>
      <c r="C312" s="53"/>
      <c r="D312" s="15" t="str">
        <f>FonemaPT(A312,1)</f>
        <v>M V TM KSL PD</v>
      </c>
      <c r="E312" s="53"/>
      <c r="F312" s="8" t="str">
        <f>RSOUNDEX(A312)</f>
        <v>M513</v>
      </c>
      <c r="G312" s="53"/>
      <c r="H312" s="8" t="str">
        <f>FonemaPT(A312)</f>
        <v>MIMA AVO TIMA U KSOLO PUDE</v>
      </c>
      <c r="I312" s="53"/>
    </row>
    <row r="313" spans="1:9" ht="18.95" customHeight="1" x14ac:dyDescent="0.25">
      <c r="B313" s="8"/>
      <c r="C313" s="5"/>
      <c r="D313" s="15"/>
      <c r="E313" s="5"/>
      <c r="F313" s="8"/>
      <c r="G313" s="5"/>
      <c r="H313" s="8"/>
      <c r="I313" s="5"/>
    </row>
    <row r="314" spans="1:9" ht="18.75" x14ac:dyDescent="0.3">
      <c r="A314" s="4" t="s">
        <v>218</v>
      </c>
      <c r="B314" s="8" t="str">
        <f>BuscaFoneticaBR(A314)</f>
        <v>DAFEME</v>
      </c>
      <c r="C314" s="53" t="str">
        <f>IF(B314=B315,"Iguais","Diferentes")</f>
        <v>Iguais</v>
      </c>
      <c r="D314" s="15" t="str">
        <f>FonemaPT(A314,1)</f>
        <v>DFM</v>
      </c>
      <c r="E314" s="53" t="str">
        <f>IF(D314=D315,"Iguais","Diferentes")</f>
        <v>Iguais</v>
      </c>
      <c r="F314" s="8" t="str">
        <f>RSOUNDEX(A314)</f>
        <v>D15</v>
      </c>
      <c r="G314" s="53" t="str">
        <f>IF(F314=F315,"Iguais","Diferentes")</f>
        <v>Iguais</v>
      </c>
      <c r="H314" s="8" t="str">
        <f>FonemaPT(A314)</f>
        <v>DAFME</v>
      </c>
      <c r="I314" s="53" t="str">
        <f>IF(H314=H315,"Iguais","Diferentes")</f>
        <v>Diferentes</v>
      </c>
    </row>
    <row r="315" spans="1:9" ht="18.75" x14ac:dyDescent="0.3">
      <c r="A315" s="4" t="s">
        <v>219</v>
      </c>
      <c r="B315" s="8" t="str">
        <f>BuscaFoneticaBR(A315)</f>
        <v>DAFEME</v>
      </c>
      <c r="C315" s="53"/>
      <c r="D315" s="15" t="str">
        <f>FonemaPT(A315,1)</f>
        <v>DFM</v>
      </c>
      <c r="E315" s="53"/>
      <c r="F315" s="8" t="str">
        <f>RSOUNDEX(A315)</f>
        <v>D15</v>
      </c>
      <c r="G315" s="53"/>
      <c r="H315" s="8" t="str">
        <f>FonemaPT(A315)</f>
        <v>DAFIME</v>
      </c>
      <c r="I315" s="53"/>
    </row>
    <row r="316" spans="1:9" ht="15.75" x14ac:dyDescent="0.25">
      <c r="B316" s="8"/>
      <c r="D316" s="15"/>
      <c r="F316" s="8"/>
      <c r="H316" s="8"/>
    </row>
    <row r="317" spans="1:9" ht="18.75" x14ac:dyDescent="0.3">
      <c r="A317" s="4" t="s">
        <v>252</v>
      </c>
      <c r="B317" s="8" t="str">
        <f>BuscaFoneticaBR(A317)</f>
        <v>OPESA</v>
      </c>
      <c r="C317" s="53" t="str">
        <f>IF(B317=B318,"Iguais","Diferentes")</f>
        <v>Iguais</v>
      </c>
      <c r="D317" s="15" t="str">
        <f>FonemaPT(A317,1)</f>
        <v>PS</v>
      </c>
      <c r="E317" s="53" t="str">
        <f>IF(D317=D318,"Iguais","Diferentes")</f>
        <v>Iguais</v>
      </c>
      <c r="F317" s="8" t="str">
        <f>RSOUNDEX(A317)</f>
        <v>O1</v>
      </c>
      <c r="G317" s="53" t="str">
        <f>IF(F317=F318,"Iguais","Diferentes")</f>
        <v>Diferentes</v>
      </c>
      <c r="H317" s="8" t="str">
        <f>FonemaPT(A317)</f>
        <v>OPS</v>
      </c>
      <c r="I317" s="53" t="str">
        <f>IF(H317=H318,"Iguais","Diferentes")</f>
        <v>Diferentes</v>
      </c>
    </row>
    <row r="318" spans="1:9" ht="18.75" x14ac:dyDescent="0.3">
      <c r="A318" s="4" t="s">
        <v>253</v>
      </c>
      <c r="B318" s="8" t="str">
        <f>BuscaFoneticaBR(A318)</f>
        <v>OPESA</v>
      </c>
      <c r="C318" s="53"/>
      <c r="D318" s="15" t="str">
        <f>FonemaPT(A318,1)</f>
        <v>PS</v>
      </c>
      <c r="E318" s="53"/>
      <c r="F318" s="8" t="str">
        <f>RSOUNDEX(A318)</f>
        <v>O12</v>
      </c>
      <c r="G318" s="53"/>
      <c r="H318" s="8" t="str">
        <f>FonemaPT(A318)</f>
        <v>OPIS</v>
      </c>
      <c r="I318" s="53"/>
    </row>
    <row r="319" spans="1:9" ht="15.75" x14ac:dyDescent="0.25">
      <c r="B319" s="8"/>
      <c r="D319" s="15"/>
      <c r="F319" s="8"/>
      <c r="H319" s="8"/>
    </row>
    <row r="320" spans="1:9" ht="18.95" customHeight="1" x14ac:dyDescent="0.25">
      <c r="A320" t="s">
        <v>161</v>
      </c>
      <c r="B320" s="8" t="str">
        <f>BuscaFoneticaBR(A320)</f>
        <v>RAKEO</v>
      </c>
      <c r="C320" s="53" t="str">
        <f>IF(B320=B321,"Iguais","Diferentes")</f>
        <v>Diferentes</v>
      </c>
      <c r="D320" s="15" t="str">
        <f>FonemaPT(A320,1)</f>
        <v>LK</v>
      </c>
      <c r="E320" s="53" t="str">
        <f>IF(D320=D321,"Iguais","Diferentes")</f>
        <v>Diferentes</v>
      </c>
      <c r="F320" s="8" t="str">
        <f>RSOUNDEX(A320)</f>
        <v>R24</v>
      </c>
      <c r="G320" s="53" t="str">
        <f>IF(F320=F321,"Iguais","Diferentes")</f>
        <v>Iguais</v>
      </c>
      <c r="H320" s="8" t="str">
        <f>FonemaPT(A320)</f>
        <v>LAKUE</v>
      </c>
      <c r="I320" s="53" t="str">
        <f>IF(H320=H321,"Iguais","Diferentes")</f>
        <v>Diferentes</v>
      </c>
    </row>
    <row r="321" spans="1:9" ht="18.95" customHeight="1" x14ac:dyDescent="0.25">
      <c r="A321" t="s">
        <v>162</v>
      </c>
      <c r="B321" s="8" t="str">
        <f>BuscaFoneticaBR(A321)</f>
        <v>RASEO</v>
      </c>
      <c r="C321" s="53"/>
      <c r="D321" s="15" t="str">
        <f>FonemaPT(A321,1)</f>
        <v>LC</v>
      </c>
      <c r="E321" s="53"/>
      <c r="F321" s="8" t="str">
        <f>RSOUNDEX(A321)</f>
        <v>R24</v>
      </c>
      <c r="G321" s="53"/>
      <c r="H321" s="8" t="str">
        <f>FonemaPT(A321)</f>
        <v>LACHE</v>
      </c>
      <c r="I321" s="53"/>
    </row>
    <row r="322" spans="1:9" ht="15.75" thickBot="1" x14ac:dyDescent="0.3"/>
    <row r="323" spans="1:9" ht="21.75" customHeight="1" thickBot="1" x14ac:dyDescent="0.3">
      <c r="A323" s="54" t="s">
        <v>194</v>
      </c>
      <c r="B323" s="57" t="s">
        <v>178</v>
      </c>
      <c r="C323" s="58"/>
      <c r="D323" s="57" t="s">
        <v>196</v>
      </c>
      <c r="E323" s="58"/>
      <c r="F323" s="57" t="s">
        <v>195</v>
      </c>
      <c r="G323" s="58"/>
      <c r="H323" s="57" t="s">
        <v>179</v>
      </c>
      <c r="I323" s="58"/>
    </row>
    <row r="324" spans="1:9" ht="21" x14ac:dyDescent="0.35">
      <c r="A324" s="55"/>
      <c r="B324" s="11" t="s">
        <v>160</v>
      </c>
      <c r="C324" s="9">
        <f>COUNTIF(C3:C321,"Iguais")</f>
        <v>99</v>
      </c>
      <c r="D324" s="16" t="s">
        <v>160</v>
      </c>
      <c r="E324" s="9">
        <f>COUNTIF(E3:E321,"Iguais")</f>
        <v>71</v>
      </c>
      <c r="F324" s="11" t="s">
        <v>160</v>
      </c>
      <c r="G324" s="9">
        <f>COUNTIF(G3:G321,"Iguais")</f>
        <v>52</v>
      </c>
      <c r="H324" s="11" t="s">
        <v>160</v>
      </c>
      <c r="I324" s="9">
        <f>COUNTIF(I3:I321,"Iguais")</f>
        <v>31</v>
      </c>
    </row>
    <row r="325" spans="1:9" ht="21" x14ac:dyDescent="0.35">
      <c r="A325" s="55"/>
      <c r="B325" s="12" t="s">
        <v>190</v>
      </c>
      <c r="C325" s="10">
        <f>COUNTA(C3:C321)</f>
        <v>100</v>
      </c>
      <c r="D325" s="17" t="s">
        <v>190</v>
      </c>
      <c r="E325" s="10">
        <f>COUNTA(E3:E321)</f>
        <v>100</v>
      </c>
      <c r="F325" s="12" t="s">
        <v>190</v>
      </c>
      <c r="G325" s="10">
        <f>COUNTA(G3:G321)</f>
        <v>100</v>
      </c>
      <c r="H325" s="12" t="s">
        <v>190</v>
      </c>
      <c r="I325" s="10">
        <f>COUNTA(I3:I321)</f>
        <v>100</v>
      </c>
    </row>
    <row r="326" spans="1:9" ht="21.75" thickBot="1" x14ac:dyDescent="0.4">
      <c r="A326" s="56"/>
      <c r="B326" s="13" t="s">
        <v>191</v>
      </c>
      <c r="C326" s="19">
        <f>C324/C325</f>
        <v>0.99</v>
      </c>
      <c r="D326" s="18" t="s">
        <v>191</v>
      </c>
      <c r="E326" s="19">
        <f>E324/E325</f>
        <v>0.71</v>
      </c>
      <c r="F326" s="13" t="s">
        <v>191</v>
      </c>
      <c r="G326" s="19">
        <f>G324/G325</f>
        <v>0.52</v>
      </c>
      <c r="H326" s="13" t="s">
        <v>191</v>
      </c>
      <c r="I326" s="19">
        <f>I324/I325</f>
        <v>0.31</v>
      </c>
    </row>
  </sheetData>
  <mergeCells count="405">
    <mergeCell ref="G317:G318"/>
    <mergeCell ref="I317:I318"/>
    <mergeCell ref="C281:C282"/>
    <mergeCell ref="E281:E282"/>
    <mergeCell ref="G281:G282"/>
    <mergeCell ref="I281:I282"/>
    <mergeCell ref="C275:C276"/>
    <mergeCell ref="E275:E276"/>
    <mergeCell ref="G275:G276"/>
    <mergeCell ref="I275:I276"/>
    <mergeCell ref="C278:C279"/>
    <mergeCell ref="E278:E279"/>
    <mergeCell ref="G278:G279"/>
    <mergeCell ref="I278:I279"/>
    <mergeCell ref="C314:C315"/>
    <mergeCell ref="E314:E315"/>
    <mergeCell ref="G314:G315"/>
    <mergeCell ref="I314:I315"/>
    <mergeCell ref="C311:C312"/>
    <mergeCell ref="E311:E312"/>
    <mergeCell ref="G311:G312"/>
    <mergeCell ref="I311:I312"/>
    <mergeCell ref="G305:G306"/>
    <mergeCell ref="I305:I306"/>
    <mergeCell ref="G260:G261"/>
    <mergeCell ref="I260:I261"/>
    <mergeCell ref="C263:C264"/>
    <mergeCell ref="E263:E264"/>
    <mergeCell ref="G263:G264"/>
    <mergeCell ref="I263:I264"/>
    <mergeCell ref="C266:C267"/>
    <mergeCell ref="E266:E267"/>
    <mergeCell ref="G266:G267"/>
    <mergeCell ref="I266:I267"/>
    <mergeCell ref="E302:E303"/>
    <mergeCell ref="G302:G303"/>
    <mergeCell ref="I302:I303"/>
    <mergeCell ref="C284:C285"/>
    <mergeCell ref="I284:I285"/>
    <mergeCell ref="C290:C291"/>
    <mergeCell ref="I290:I291"/>
    <mergeCell ref="C299:C300"/>
    <mergeCell ref="I299:I300"/>
    <mergeCell ref="G308:G309"/>
    <mergeCell ref="I308:I309"/>
    <mergeCell ref="D323:E323"/>
    <mergeCell ref="E209:E211"/>
    <mergeCell ref="E213:E214"/>
    <mergeCell ref="E216:E217"/>
    <mergeCell ref="E219:E220"/>
    <mergeCell ref="E222:E223"/>
    <mergeCell ref="E225:E226"/>
    <mergeCell ref="E228:E229"/>
    <mergeCell ref="E231:E232"/>
    <mergeCell ref="E234:E235"/>
    <mergeCell ref="I320:I321"/>
    <mergeCell ref="I293:I294"/>
    <mergeCell ref="I287:I288"/>
    <mergeCell ref="I296:I297"/>
    <mergeCell ref="I257:I258"/>
    <mergeCell ref="E269:E270"/>
    <mergeCell ref="G269:G270"/>
    <mergeCell ref="I269:I270"/>
    <mergeCell ref="E272:E273"/>
    <mergeCell ref="G272:G273"/>
    <mergeCell ref="I272:I273"/>
    <mergeCell ref="E305:E306"/>
    <mergeCell ref="E182:E183"/>
    <mergeCell ref="E185:E186"/>
    <mergeCell ref="E188:E189"/>
    <mergeCell ref="E191:E192"/>
    <mergeCell ref="E194:E195"/>
    <mergeCell ref="E197:E198"/>
    <mergeCell ref="E200:E201"/>
    <mergeCell ref="E203:E204"/>
    <mergeCell ref="E206:E207"/>
    <mergeCell ref="E154:E155"/>
    <mergeCell ref="E161:E162"/>
    <mergeCell ref="E164:E165"/>
    <mergeCell ref="E167:E168"/>
    <mergeCell ref="E170:E171"/>
    <mergeCell ref="E173:E174"/>
    <mergeCell ref="E176:E177"/>
    <mergeCell ref="E179:E180"/>
    <mergeCell ref="E157:E159"/>
    <mergeCell ref="E113:E114"/>
    <mergeCell ref="E116:E117"/>
    <mergeCell ref="E119:E120"/>
    <mergeCell ref="E122:E124"/>
    <mergeCell ref="E126:E137"/>
    <mergeCell ref="E139:E141"/>
    <mergeCell ref="E143:E144"/>
    <mergeCell ref="E146:E148"/>
    <mergeCell ref="E150:E152"/>
    <mergeCell ref="E85:E86"/>
    <mergeCell ref="E88:E89"/>
    <mergeCell ref="E91:E92"/>
    <mergeCell ref="E94:E95"/>
    <mergeCell ref="E97:E99"/>
    <mergeCell ref="E101:E102"/>
    <mergeCell ref="E104:E105"/>
    <mergeCell ref="E107:E108"/>
    <mergeCell ref="E110:E111"/>
    <mergeCell ref="E58:E59"/>
    <mergeCell ref="E61:E62"/>
    <mergeCell ref="E64:E65"/>
    <mergeCell ref="E67:E68"/>
    <mergeCell ref="E70:E71"/>
    <mergeCell ref="E73:E74"/>
    <mergeCell ref="E76:E77"/>
    <mergeCell ref="E79:E80"/>
    <mergeCell ref="E82:E83"/>
    <mergeCell ref="E31:E32"/>
    <mergeCell ref="E34:E35"/>
    <mergeCell ref="E37:E38"/>
    <mergeCell ref="E40:E41"/>
    <mergeCell ref="E43:E44"/>
    <mergeCell ref="E46:E47"/>
    <mergeCell ref="E49:E50"/>
    <mergeCell ref="E52:E53"/>
    <mergeCell ref="E55:E56"/>
    <mergeCell ref="E3:E4"/>
    <mergeCell ref="E6:E7"/>
    <mergeCell ref="E9:E11"/>
    <mergeCell ref="E13:E14"/>
    <mergeCell ref="E16:E17"/>
    <mergeCell ref="E19:E20"/>
    <mergeCell ref="E22:E23"/>
    <mergeCell ref="E25:E26"/>
    <mergeCell ref="E28:E29"/>
    <mergeCell ref="E257:E258"/>
    <mergeCell ref="E284:E285"/>
    <mergeCell ref="E287:E288"/>
    <mergeCell ref="E290:E291"/>
    <mergeCell ref="E293:E294"/>
    <mergeCell ref="E296:E297"/>
    <mergeCell ref="E299:E300"/>
    <mergeCell ref="E320:E321"/>
    <mergeCell ref="C253:C255"/>
    <mergeCell ref="C308:C309"/>
    <mergeCell ref="E308:E309"/>
    <mergeCell ref="C320:C321"/>
    <mergeCell ref="C293:C294"/>
    <mergeCell ref="C287:C288"/>
    <mergeCell ref="C296:C297"/>
    <mergeCell ref="C257:C258"/>
    <mergeCell ref="C269:C270"/>
    <mergeCell ref="C272:C273"/>
    <mergeCell ref="C305:C306"/>
    <mergeCell ref="C260:C261"/>
    <mergeCell ref="E260:E261"/>
    <mergeCell ref="C317:C318"/>
    <mergeCell ref="E317:E318"/>
    <mergeCell ref="C302:C303"/>
    <mergeCell ref="I253:I255"/>
    <mergeCell ref="C244:C245"/>
    <mergeCell ref="I244:I245"/>
    <mergeCell ref="C247:C248"/>
    <mergeCell ref="I247:I248"/>
    <mergeCell ref="C250:C251"/>
    <mergeCell ref="I250:I251"/>
    <mergeCell ref="C237:C239"/>
    <mergeCell ref="I237:I239"/>
    <mergeCell ref="C241:C242"/>
    <mergeCell ref="I241:I242"/>
    <mergeCell ref="E237:E239"/>
    <mergeCell ref="E241:E242"/>
    <mergeCell ref="E244:E245"/>
    <mergeCell ref="E247:E248"/>
    <mergeCell ref="E250:E251"/>
    <mergeCell ref="E253:E255"/>
    <mergeCell ref="G244:G245"/>
    <mergeCell ref="G247:G248"/>
    <mergeCell ref="G250:G251"/>
    <mergeCell ref="I231:I232"/>
    <mergeCell ref="I234:I235"/>
    <mergeCell ref="I97:I99"/>
    <mergeCell ref="I119:I120"/>
    <mergeCell ref="I122:I124"/>
    <mergeCell ref="I139:I141"/>
    <mergeCell ref="I146:I148"/>
    <mergeCell ref="I150:I152"/>
    <mergeCell ref="I209:I211"/>
    <mergeCell ref="I126:I137"/>
    <mergeCell ref="I216:I217"/>
    <mergeCell ref="I219:I220"/>
    <mergeCell ref="I222:I223"/>
    <mergeCell ref="I225:I226"/>
    <mergeCell ref="I228:I229"/>
    <mergeCell ref="I200:I201"/>
    <mergeCell ref="I203:I204"/>
    <mergeCell ref="I206:I207"/>
    <mergeCell ref="I213:I214"/>
    <mergeCell ref="I185:I186"/>
    <mergeCell ref="I188:I189"/>
    <mergeCell ref="I191:I192"/>
    <mergeCell ref="I194:I195"/>
    <mergeCell ref="I197:I198"/>
    <mergeCell ref="I170:I171"/>
    <mergeCell ref="I173:I174"/>
    <mergeCell ref="I176:I177"/>
    <mergeCell ref="I179:I180"/>
    <mergeCell ref="I182:I183"/>
    <mergeCell ref="I154:I155"/>
    <mergeCell ref="I161:I162"/>
    <mergeCell ref="I164:I165"/>
    <mergeCell ref="I167:I168"/>
    <mergeCell ref="I157:I159"/>
    <mergeCell ref="I107:I108"/>
    <mergeCell ref="I110:I111"/>
    <mergeCell ref="I113:I114"/>
    <mergeCell ref="I116:I117"/>
    <mergeCell ref="I143:I144"/>
    <mergeCell ref="I91:I92"/>
    <mergeCell ref="I94:I95"/>
    <mergeCell ref="I101:I102"/>
    <mergeCell ref="I104:I105"/>
    <mergeCell ref="I76:I77"/>
    <mergeCell ref="I79:I80"/>
    <mergeCell ref="I82:I83"/>
    <mergeCell ref="I85:I86"/>
    <mergeCell ref="I88:I89"/>
    <mergeCell ref="I61:I62"/>
    <mergeCell ref="I64:I65"/>
    <mergeCell ref="I67:I68"/>
    <mergeCell ref="I70:I71"/>
    <mergeCell ref="I73:I74"/>
    <mergeCell ref="I46:I47"/>
    <mergeCell ref="I49:I50"/>
    <mergeCell ref="I52:I53"/>
    <mergeCell ref="I55:I56"/>
    <mergeCell ref="I58:I59"/>
    <mergeCell ref="C234:C235"/>
    <mergeCell ref="I3:I4"/>
    <mergeCell ref="I6:I7"/>
    <mergeCell ref="I9:I11"/>
    <mergeCell ref="I13:I14"/>
    <mergeCell ref="I16:I17"/>
    <mergeCell ref="I19:I20"/>
    <mergeCell ref="I22:I23"/>
    <mergeCell ref="I25:I26"/>
    <mergeCell ref="I28:I29"/>
    <mergeCell ref="I31:I32"/>
    <mergeCell ref="I34:I35"/>
    <mergeCell ref="I37:I38"/>
    <mergeCell ref="I40:I41"/>
    <mergeCell ref="I43:I44"/>
    <mergeCell ref="C182:C183"/>
    <mergeCell ref="C206:C207"/>
    <mergeCell ref="C209:C211"/>
    <mergeCell ref="C170:C171"/>
    <mergeCell ref="C40:C41"/>
    <mergeCell ref="C3:C4"/>
    <mergeCell ref="C6:C7"/>
    <mergeCell ref="C9:C11"/>
    <mergeCell ref="C13:C14"/>
    <mergeCell ref="C19:C20"/>
    <mergeCell ref="C22:C23"/>
    <mergeCell ref="C25:C26"/>
    <mergeCell ref="C28:C29"/>
    <mergeCell ref="C31:C32"/>
    <mergeCell ref="C34:C35"/>
    <mergeCell ref="C37:C38"/>
    <mergeCell ref="C16:C17"/>
    <mergeCell ref="C76:C77"/>
    <mergeCell ref="C43:C44"/>
    <mergeCell ref="C46:C47"/>
    <mergeCell ref="C49:C50"/>
    <mergeCell ref="C52:C53"/>
    <mergeCell ref="C55:C56"/>
    <mergeCell ref="C58:C59"/>
    <mergeCell ref="C61:C62"/>
    <mergeCell ref="C64:C65"/>
    <mergeCell ref="C67:C68"/>
    <mergeCell ref="C70:C71"/>
    <mergeCell ref="C73:C74"/>
    <mergeCell ref="C113:C114"/>
    <mergeCell ref="C79:C80"/>
    <mergeCell ref="C82:C83"/>
    <mergeCell ref="C85:C86"/>
    <mergeCell ref="C88:C89"/>
    <mergeCell ref="C91:C92"/>
    <mergeCell ref="C94:C95"/>
    <mergeCell ref="C97:C99"/>
    <mergeCell ref="C101:C102"/>
    <mergeCell ref="C104:C105"/>
    <mergeCell ref="C107:C108"/>
    <mergeCell ref="C110:C111"/>
    <mergeCell ref="C157:C159"/>
    <mergeCell ref="C146:C148"/>
    <mergeCell ref="C150:C152"/>
    <mergeCell ref="C116:C117"/>
    <mergeCell ref="C119:C120"/>
    <mergeCell ref="C122:C124"/>
    <mergeCell ref="C126:C137"/>
    <mergeCell ref="C139:C141"/>
    <mergeCell ref="C143:C144"/>
    <mergeCell ref="C154:C155"/>
    <mergeCell ref="C161:C162"/>
    <mergeCell ref="C164:C165"/>
    <mergeCell ref="C167:C168"/>
    <mergeCell ref="C231:C232"/>
    <mergeCell ref="C213:C214"/>
    <mergeCell ref="C216:C217"/>
    <mergeCell ref="C219:C220"/>
    <mergeCell ref="C222:C223"/>
    <mergeCell ref="C228:C229"/>
    <mergeCell ref="C225:C226"/>
    <mergeCell ref="C173:C174"/>
    <mergeCell ref="C176:C177"/>
    <mergeCell ref="C185:C186"/>
    <mergeCell ref="C188:C189"/>
    <mergeCell ref="C191:C192"/>
    <mergeCell ref="C197:C198"/>
    <mergeCell ref="C194:C195"/>
    <mergeCell ref="C200:C201"/>
    <mergeCell ref="C203:C204"/>
    <mergeCell ref="C179:C180"/>
    <mergeCell ref="G73:G74"/>
    <mergeCell ref="G76:G77"/>
    <mergeCell ref="G79:G80"/>
    <mergeCell ref="G82:G83"/>
    <mergeCell ref="G85:G86"/>
    <mergeCell ref="G88:G89"/>
    <mergeCell ref="G91:G92"/>
    <mergeCell ref="G94:G95"/>
    <mergeCell ref="G97:G99"/>
    <mergeCell ref="G101:G102"/>
    <mergeCell ref="G104:G105"/>
    <mergeCell ref="G107:G108"/>
    <mergeCell ref="G110:G111"/>
    <mergeCell ref="G113:G114"/>
    <mergeCell ref="G116:G117"/>
    <mergeCell ref="G119:G120"/>
    <mergeCell ref="G122:G124"/>
    <mergeCell ref="G126:G137"/>
    <mergeCell ref="G139:G141"/>
    <mergeCell ref="G143:G144"/>
    <mergeCell ref="G146:G148"/>
    <mergeCell ref="G150:G152"/>
    <mergeCell ref="G154:G155"/>
    <mergeCell ref="G161:G162"/>
    <mergeCell ref="G164:G165"/>
    <mergeCell ref="G167:G168"/>
    <mergeCell ref="G157:G159"/>
    <mergeCell ref="G170:G171"/>
    <mergeCell ref="G173:G174"/>
    <mergeCell ref="G176:G177"/>
    <mergeCell ref="G179:G180"/>
    <mergeCell ref="G182:G183"/>
    <mergeCell ref="G185:G186"/>
    <mergeCell ref="G188:G189"/>
    <mergeCell ref="G191:G192"/>
    <mergeCell ref="G194:G195"/>
    <mergeCell ref="G197:G198"/>
    <mergeCell ref="G200:G201"/>
    <mergeCell ref="G203:G204"/>
    <mergeCell ref="G206:G207"/>
    <mergeCell ref="G209:G211"/>
    <mergeCell ref="G213:G214"/>
    <mergeCell ref="G216:G217"/>
    <mergeCell ref="G219:G220"/>
    <mergeCell ref="G222:G223"/>
    <mergeCell ref="G3:G4"/>
    <mergeCell ref="G6:G7"/>
    <mergeCell ref="G9:G11"/>
    <mergeCell ref="G13:G14"/>
    <mergeCell ref="G16:G17"/>
    <mergeCell ref="G19:G20"/>
    <mergeCell ref="G22:G23"/>
    <mergeCell ref="G25:G26"/>
    <mergeCell ref="G28:G29"/>
    <mergeCell ref="G31:G32"/>
    <mergeCell ref="G34:G35"/>
    <mergeCell ref="G37:G38"/>
    <mergeCell ref="G40:G41"/>
    <mergeCell ref="G43:G44"/>
    <mergeCell ref="G46:G47"/>
    <mergeCell ref="G49:G50"/>
    <mergeCell ref="G52:G53"/>
    <mergeCell ref="G55:G56"/>
    <mergeCell ref="G58:G59"/>
    <mergeCell ref="G61:G62"/>
    <mergeCell ref="G64:G65"/>
    <mergeCell ref="G67:G68"/>
    <mergeCell ref="G70:G71"/>
    <mergeCell ref="A323:A326"/>
    <mergeCell ref="B323:C323"/>
    <mergeCell ref="F323:G323"/>
    <mergeCell ref="H323:I323"/>
    <mergeCell ref="G253:G255"/>
    <mergeCell ref="G257:G258"/>
    <mergeCell ref="G284:G285"/>
    <mergeCell ref="G287:G288"/>
    <mergeCell ref="G290:G291"/>
    <mergeCell ref="G293:G294"/>
    <mergeCell ref="G296:G297"/>
    <mergeCell ref="G299:G300"/>
    <mergeCell ref="G320:G321"/>
    <mergeCell ref="G225:G226"/>
    <mergeCell ref="G228:G229"/>
    <mergeCell ref="G231:G232"/>
    <mergeCell ref="G234:G235"/>
    <mergeCell ref="G237:G239"/>
    <mergeCell ref="G241:G242"/>
  </mergeCells>
  <conditionalFormatting sqref="C1:C15 C187 C190 C193 C199 C196 C202 C205:C212 C215 C218 C221 C230 C224 C233 C236 C240 C243 C246 C249 C252 C256 C259 C286 C292 C295 C289 C301 C322 C324:C1048576 G1 D1:E1 C307 C304 C262 C265 C268 C271 C274 C277 C280 C316 C319 C283 C160:C184 C18:C156">
    <cfRule type="cellIs" dxfId="459" priority="378" operator="equal">
      <formula>"Diferentes"</formula>
    </cfRule>
  </conditionalFormatting>
  <conditionalFormatting sqref="C185:C186">
    <cfRule type="cellIs" dxfId="458" priority="377" operator="equal">
      <formula>"Diferentes"</formula>
    </cfRule>
  </conditionalFormatting>
  <conditionalFormatting sqref="C188:C189">
    <cfRule type="cellIs" dxfId="457" priority="376" operator="equal">
      <formula>"Diferentes"</formula>
    </cfRule>
  </conditionalFormatting>
  <conditionalFormatting sqref="C191:C192">
    <cfRule type="cellIs" dxfId="456" priority="375" operator="equal">
      <formula>"Diferentes"</formula>
    </cfRule>
  </conditionalFormatting>
  <conditionalFormatting sqref="C197:C198">
    <cfRule type="cellIs" dxfId="455" priority="374" operator="equal">
      <formula>"Diferentes"</formula>
    </cfRule>
  </conditionalFormatting>
  <conditionalFormatting sqref="C194:C195">
    <cfRule type="cellIs" dxfId="454" priority="373" operator="equal">
      <formula>"Diferentes"</formula>
    </cfRule>
  </conditionalFormatting>
  <conditionalFormatting sqref="C200:C201">
    <cfRule type="cellIs" dxfId="453" priority="372" operator="equal">
      <formula>"Diferentes"</formula>
    </cfRule>
  </conditionalFormatting>
  <conditionalFormatting sqref="C203:C204">
    <cfRule type="cellIs" dxfId="452" priority="371" operator="equal">
      <formula>"Diferentes"</formula>
    </cfRule>
  </conditionalFormatting>
  <conditionalFormatting sqref="C16:C17">
    <cfRule type="cellIs" dxfId="451" priority="370" operator="equal">
      <formula>"Diferentes"</formula>
    </cfRule>
  </conditionalFormatting>
  <conditionalFormatting sqref="C213:C214">
    <cfRule type="cellIs" dxfId="450" priority="369" operator="equal">
      <formula>"Diferentes"</formula>
    </cfRule>
  </conditionalFormatting>
  <conditionalFormatting sqref="C216:C217">
    <cfRule type="cellIs" dxfId="449" priority="368" operator="equal">
      <formula>"Diferentes"</formula>
    </cfRule>
  </conditionalFormatting>
  <conditionalFormatting sqref="C219:C220">
    <cfRule type="cellIs" dxfId="448" priority="367" operator="equal">
      <formula>"Diferentes"</formula>
    </cfRule>
  </conditionalFormatting>
  <conditionalFormatting sqref="C228:C229">
    <cfRule type="cellIs" dxfId="447" priority="364" operator="equal">
      <formula>"Diferentes"</formula>
    </cfRule>
  </conditionalFormatting>
  <conditionalFormatting sqref="C222:C223">
    <cfRule type="cellIs" dxfId="446" priority="365" operator="equal">
      <formula>"Diferentes"</formula>
    </cfRule>
  </conditionalFormatting>
  <conditionalFormatting sqref="C227">
    <cfRule type="cellIs" dxfId="445" priority="363" operator="equal">
      <formula>"Diferentes"</formula>
    </cfRule>
  </conditionalFormatting>
  <conditionalFormatting sqref="C225:C226">
    <cfRule type="cellIs" dxfId="444" priority="362" operator="equal">
      <formula>"Diferentes"</formula>
    </cfRule>
  </conditionalFormatting>
  <conditionalFormatting sqref="C231:C232">
    <cfRule type="cellIs" dxfId="443" priority="361" operator="equal">
      <formula>"Diferentes"</formula>
    </cfRule>
  </conditionalFormatting>
  <conditionalFormatting sqref="C234:C235">
    <cfRule type="cellIs" dxfId="442" priority="360" operator="equal">
      <formula>"Diferentes"</formula>
    </cfRule>
  </conditionalFormatting>
  <conditionalFormatting sqref="I3:I4">
    <cfRule type="cellIs" dxfId="441" priority="359" operator="equal">
      <formula>"Diferentes"</formula>
    </cfRule>
  </conditionalFormatting>
  <conditionalFormatting sqref="I6:I7">
    <cfRule type="cellIs" dxfId="440" priority="358" operator="equal">
      <formula>"Diferentes"</formula>
    </cfRule>
  </conditionalFormatting>
  <conditionalFormatting sqref="I1">
    <cfRule type="cellIs" dxfId="439" priority="259" operator="equal">
      <formula>"Diferentes"</formula>
    </cfRule>
  </conditionalFormatting>
  <conditionalFormatting sqref="I9:I11">
    <cfRule type="cellIs" dxfId="438" priority="356" operator="equal">
      <formula>"Diferentes"</formula>
    </cfRule>
  </conditionalFormatting>
  <conditionalFormatting sqref="I13:I14">
    <cfRule type="cellIs" dxfId="437" priority="355" operator="equal">
      <formula>"Diferentes"</formula>
    </cfRule>
  </conditionalFormatting>
  <conditionalFormatting sqref="I16:I17">
    <cfRule type="cellIs" dxfId="436" priority="354" operator="equal">
      <formula>"Diferentes"</formula>
    </cfRule>
  </conditionalFormatting>
  <conditionalFormatting sqref="I19:I20">
    <cfRule type="cellIs" dxfId="435" priority="353" operator="equal">
      <formula>"Diferentes"</formula>
    </cfRule>
  </conditionalFormatting>
  <conditionalFormatting sqref="I22:I23">
    <cfRule type="cellIs" dxfId="434" priority="352" operator="equal">
      <formula>"Diferentes"</formula>
    </cfRule>
  </conditionalFormatting>
  <conditionalFormatting sqref="I25:I26">
    <cfRule type="cellIs" dxfId="433" priority="351" operator="equal">
      <formula>"Diferentes"</formula>
    </cfRule>
  </conditionalFormatting>
  <conditionalFormatting sqref="I28:I29">
    <cfRule type="cellIs" dxfId="432" priority="350" operator="equal">
      <formula>"Diferentes"</formula>
    </cfRule>
  </conditionalFormatting>
  <conditionalFormatting sqref="I31:I32">
    <cfRule type="cellIs" dxfId="431" priority="349" operator="equal">
      <formula>"Diferentes"</formula>
    </cfRule>
  </conditionalFormatting>
  <conditionalFormatting sqref="I34:I35">
    <cfRule type="cellIs" dxfId="430" priority="348" operator="equal">
      <formula>"Diferentes"</formula>
    </cfRule>
  </conditionalFormatting>
  <conditionalFormatting sqref="I37:I38">
    <cfRule type="cellIs" dxfId="429" priority="347" operator="equal">
      <formula>"Diferentes"</formula>
    </cfRule>
  </conditionalFormatting>
  <conditionalFormatting sqref="I40:I41">
    <cfRule type="cellIs" dxfId="428" priority="346" operator="equal">
      <formula>"Diferentes"</formula>
    </cfRule>
  </conditionalFormatting>
  <conditionalFormatting sqref="I43:I44">
    <cfRule type="cellIs" dxfId="427" priority="345" operator="equal">
      <formula>"Diferentes"</formula>
    </cfRule>
  </conditionalFormatting>
  <conditionalFormatting sqref="I46:I47">
    <cfRule type="cellIs" dxfId="426" priority="344" operator="equal">
      <formula>"Diferentes"</formula>
    </cfRule>
  </conditionalFormatting>
  <conditionalFormatting sqref="I49:I50">
    <cfRule type="cellIs" dxfId="425" priority="343" operator="equal">
      <formula>"Diferentes"</formula>
    </cfRule>
  </conditionalFormatting>
  <conditionalFormatting sqref="I52:I53">
    <cfRule type="cellIs" dxfId="424" priority="342" operator="equal">
      <formula>"Diferentes"</formula>
    </cfRule>
  </conditionalFormatting>
  <conditionalFormatting sqref="I55:I56">
    <cfRule type="cellIs" dxfId="423" priority="341" operator="equal">
      <formula>"Diferentes"</formula>
    </cfRule>
  </conditionalFormatting>
  <conditionalFormatting sqref="I58:I59">
    <cfRule type="cellIs" dxfId="422" priority="340" operator="equal">
      <formula>"Diferentes"</formula>
    </cfRule>
  </conditionalFormatting>
  <conditionalFormatting sqref="I61:I62">
    <cfRule type="cellIs" dxfId="421" priority="339" operator="equal">
      <formula>"Diferentes"</formula>
    </cfRule>
  </conditionalFormatting>
  <conditionalFormatting sqref="I64:I65">
    <cfRule type="cellIs" dxfId="420" priority="338" operator="equal">
      <formula>"Diferentes"</formula>
    </cfRule>
  </conditionalFormatting>
  <conditionalFormatting sqref="I67:I68">
    <cfRule type="cellIs" dxfId="419" priority="337" operator="equal">
      <formula>"Diferentes"</formula>
    </cfRule>
  </conditionalFormatting>
  <conditionalFormatting sqref="I70:I71">
    <cfRule type="cellIs" dxfId="418" priority="336" operator="equal">
      <formula>"Diferentes"</formula>
    </cfRule>
  </conditionalFormatting>
  <conditionalFormatting sqref="I73:I74">
    <cfRule type="cellIs" dxfId="417" priority="335" operator="equal">
      <formula>"Diferentes"</formula>
    </cfRule>
  </conditionalFormatting>
  <conditionalFormatting sqref="I76:I77">
    <cfRule type="cellIs" dxfId="416" priority="334" operator="equal">
      <formula>"Diferentes"</formula>
    </cfRule>
  </conditionalFormatting>
  <conditionalFormatting sqref="I79:I80">
    <cfRule type="cellIs" dxfId="415" priority="333" operator="equal">
      <formula>"Diferentes"</formula>
    </cfRule>
  </conditionalFormatting>
  <conditionalFormatting sqref="I82:I83">
    <cfRule type="cellIs" dxfId="414" priority="332" operator="equal">
      <formula>"Diferentes"</formula>
    </cfRule>
  </conditionalFormatting>
  <conditionalFormatting sqref="I85:I86">
    <cfRule type="cellIs" dxfId="413" priority="331" operator="equal">
      <formula>"Diferentes"</formula>
    </cfRule>
  </conditionalFormatting>
  <conditionalFormatting sqref="I88:I89">
    <cfRule type="cellIs" dxfId="412" priority="330" operator="equal">
      <formula>"Diferentes"</formula>
    </cfRule>
  </conditionalFormatting>
  <conditionalFormatting sqref="I91:I92">
    <cfRule type="cellIs" dxfId="411" priority="329" operator="equal">
      <formula>"Diferentes"</formula>
    </cfRule>
  </conditionalFormatting>
  <conditionalFormatting sqref="I94:I95">
    <cfRule type="cellIs" dxfId="410" priority="328" operator="equal">
      <formula>"Diferentes"</formula>
    </cfRule>
  </conditionalFormatting>
  <conditionalFormatting sqref="I225:I226">
    <cfRule type="cellIs" dxfId="409" priority="296" operator="equal">
      <formula>"Diferentes"</formula>
    </cfRule>
  </conditionalFormatting>
  <conditionalFormatting sqref="I101:I102">
    <cfRule type="cellIs" dxfId="408" priority="326" operator="equal">
      <formula>"Diferentes"</formula>
    </cfRule>
  </conditionalFormatting>
  <conditionalFormatting sqref="I104:I105">
    <cfRule type="cellIs" dxfId="407" priority="325" operator="equal">
      <formula>"Diferentes"</formula>
    </cfRule>
  </conditionalFormatting>
  <conditionalFormatting sqref="I107:I108">
    <cfRule type="cellIs" dxfId="406" priority="324" operator="equal">
      <formula>"Diferentes"</formula>
    </cfRule>
  </conditionalFormatting>
  <conditionalFormatting sqref="I110:I111">
    <cfRule type="cellIs" dxfId="405" priority="323" operator="equal">
      <formula>"Diferentes"</formula>
    </cfRule>
  </conditionalFormatting>
  <conditionalFormatting sqref="I113:I114">
    <cfRule type="cellIs" dxfId="404" priority="322" operator="equal">
      <formula>"Diferentes"</formula>
    </cfRule>
  </conditionalFormatting>
  <conditionalFormatting sqref="I116:I117">
    <cfRule type="cellIs" dxfId="403" priority="321" operator="equal">
      <formula>"Diferentes"</formula>
    </cfRule>
  </conditionalFormatting>
  <conditionalFormatting sqref="I143:I144">
    <cfRule type="cellIs" dxfId="402" priority="320" operator="equal">
      <formula>"Diferentes"</formula>
    </cfRule>
  </conditionalFormatting>
  <conditionalFormatting sqref="I154:I155">
    <cfRule type="cellIs" dxfId="401" priority="319" operator="equal">
      <formula>"Diferentes"</formula>
    </cfRule>
  </conditionalFormatting>
  <conditionalFormatting sqref="I161:I162">
    <cfRule type="cellIs" dxfId="400" priority="317" operator="equal">
      <formula>"Diferentes"</formula>
    </cfRule>
  </conditionalFormatting>
  <conditionalFormatting sqref="I164:I165">
    <cfRule type="cellIs" dxfId="399" priority="316" operator="equal">
      <formula>"Diferentes"</formula>
    </cfRule>
  </conditionalFormatting>
  <conditionalFormatting sqref="I167:I168">
    <cfRule type="cellIs" dxfId="398" priority="315" operator="equal">
      <formula>"Diferentes"</formula>
    </cfRule>
  </conditionalFormatting>
  <conditionalFormatting sqref="I170:I171">
    <cfRule type="cellIs" dxfId="397" priority="314" operator="equal">
      <formula>"Diferentes"</formula>
    </cfRule>
  </conditionalFormatting>
  <conditionalFormatting sqref="I173:I174">
    <cfRule type="cellIs" dxfId="396" priority="313" operator="equal">
      <formula>"Diferentes"</formula>
    </cfRule>
  </conditionalFormatting>
  <conditionalFormatting sqref="I176:I177">
    <cfRule type="cellIs" dxfId="395" priority="312" operator="equal">
      <formula>"Diferentes"</formula>
    </cfRule>
  </conditionalFormatting>
  <conditionalFormatting sqref="I179:I180">
    <cfRule type="cellIs" dxfId="394" priority="311" operator="equal">
      <formula>"Diferentes"</formula>
    </cfRule>
  </conditionalFormatting>
  <conditionalFormatting sqref="I182:I183">
    <cfRule type="cellIs" dxfId="393" priority="310" operator="equal">
      <formula>"Diferentes"</formula>
    </cfRule>
  </conditionalFormatting>
  <conditionalFormatting sqref="I185:I186">
    <cfRule type="cellIs" dxfId="392" priority="309" operator="equal">
      <formula>"Diferentes"</formula>
    </cfRule>
  </conditionalFormatting>
  <conditionalFormatting sqref="I188:I189">
    <cfRule type="cellIs" dxfId="391" priority="308" operator="equal">
      <formula>"Diferentes"</formula>
    </cfRule>
  </conditionalFormatting>
  <conditionalFormatting sqref="I191:I192">
    <cfRule type="cellIs" dxfId="390" priority="307" operator="equal">
      <formula>"Diferentes"</formula>
    </cfRule>
  </conditionalFormatting>
  <conditionalFormatting sqref="I194:I195">
    <cfRule type="cellIs" dxfId="389" priority="306" operator="equal">
      <formula>"Diferentes"</formula>
    </cfRule>
  </conditionalFormatting>
  <conditionalFormatting sqref="I197:I198">
    <cfRule type="cellIs" dxfId="388" priority="305" operator="equal">
      <formula>"Diferentes"</formula>
    </cfRule>
  </conditionalFormatting>
  <conditionalFormatting sqref="I200:I201">
    <cfRule type="cellIs" dxfId="387" priority="304" operator="equal">
      <formula>"Diferentes"</formula>
    </cfRule>
  </conditionalFormatting>
  <conditionalFormatting sqref="I203:I204">
    <cfRule type="cellIs" dxfId="386" priority="303" operator="equal">
      <formula>"Diferentes"</formula>
    </cfRule>
  </conditionalFormatting>
  <conditionalFormatting sqref="I206:I207">
    <cfRule type="cellIs" dxfId="385" priority="302" operator="equal">
      <formula>"Diferentes"</formula>
    </cfRule>
  </conditionalFormatting>
  <conditionalFormatting sqref="I244:I245">
    <cfRule type="cellIs" dxfId="384" priority="276" operator="equal">
      <formula>"Diferentes"</formula>
    </cfRule>
  </conditionalFormatting>
  <conditionalFormatting sqref="I213:I214">
    <cfRule type="cellIs" dxfId="383" priority="300" operator="equal">
      <formula>"Diferentes"</formula>
    </cfRule>
  </conditionalFormatting>
  <conditionalFormatting sqref="I216:I217">
    <cfRule type="cellIs" dxfId="382" priority="299" operator="equal">
      <formula>"Diferentes"</formula>
    </cfRule>
  </conditionalFormatting>
  <conditionalFormatting sqref="I219:I220">
    <cfRule type="cellIs" dxfId="381" priority="298" operator="equal">
      <formula>"Diferentes"</formula>
    </cfRule>
  </conditionalFormatting>
  <conditionalFormatting sqref="I222:I223">
    <cfRule type="cellIs" dxfId="380" priority="297" operator="equal">
      <formula>"Diferentes"</formula>
    </cfRule>
  </conditionalFormatting>
  <conditionalFormatting sqref="I234:I235">
    <cfRule type="cellIs" dxfId="379" priority="293" operator="equal">
      <formula>"Diferentes"</formula>
    </cfRule>
  </conditionalFormatting>
  <conditionalFormatting sqref="I228:I229">
    <cfRule type="cellIs" dxfId="378" priority="295" operator="equal">
      <formula>"Diferentes"</formula>
    </cfRule>
  </conditionalFormatting>
  <conditionalFormatting sqref="I231:I232">
    <cfRule type="cellIs" dxfId="377" priority="294" operator="equal">
      <formula>"Diferentes"</formula>
    </cfRule>
  </conditionalFormatting>
  <conditionalFormatting sqref="I97:I99">
    <cfRule type="cellIs" dxfId="376" priority="292" operator="equal">
      <formula>"Diferentes"</formula>
    </cfRule>
  </conditionalFormatting>
  <conditionalFormatting sqref="I122:I124">
    <cfRule type="cellIs" dxfId="375" priority="290" operator="equal">
      <formula>"Diferentes"</formula>
    </cfRule>
  </conditionalFormatting>
  <conditionalFormatting sqref="I139:I141">
    <cfRule type="cellIs" dxfId="374" priority="289" operator="equal">
      <formula>"Diferentes"</formula>
    </cfRule>
  </conditionalFormatting>
  <conditionalFormatting sqref="I146:I148">
    <cfRule type="cellIs" dxfId="373" priority="288" operator="equal">
      <formula>"Diferentes"</formula>
    </cfRule>
  </conditionalFormatting>
  <conditionalFormatting sqref="I150:I152">
    <cfRule type="cellIs" dxfId="372" priority="287" operator="equal">
      <formula>"Diferentes"</formula>
    </cfRule>
  </conditionalFormatting>
  <conditionalFormatting sqref="I209:I211">
    <cfRule type="cellIs" dxfId="371" priority="286" operator="equal">
      <formula>"Diferentes"</formula>
    </cfRule>
  </conditionalFormatting>
  <conditionalFormatting sqref="I293:I294">
    <cfRule type="cellIs" dxfId="370" priority="249" operator="equal">
      <formula>"Diferentes"</formula>
    </cfRule>
  </conditionalFormatting>
  <conditionalFormatting sqref="I126:I137">
    <cfRule type="cellIs" dxfId="369" priority="284" operator="equal">
      <formula>"Diferentes"</formula>
    </cfRule>
  </conditionalFormatting>
  <conditionalFormatting sqref="C244:C245">
    <cfRule type="cellIs" dxfId="368" priority="277" operator="equal">
      <formula>"Diferentes"</formula>
    </cfRule>
  </conditionalFormatting>
  <conditionalFormatting sqref="C237:C239">
    <cfRule type="cellIs" dxfId="367" priority="281" operator="equal">
      <formula>"Diferentes"</formula>
    </cfRule>
  </conditionalFormatting>
  <conditionalFormatting sqref="I237:I239">
    <cfRule type="cellIs" dxfId="366" priority="280" operator="equal">
      <formula>"Diferentes"</formula>
    </cfRule>
  </conditionalFormatting>
  <conditionalFormatting sqref="C241:C242">
    <cfRule type="cellIs" dxfId="365" priority="279" operator="equal">
      <formula>"Diferentes"</formula>
    </cfRule>
  </conditionalFormatting>
  <conditionalFormatting sqref="I241:I242">
    <cfRule type="cellIs" dxfId="364" priority="278" operator="equal">
      <formula>"Diferentes"</formula>
    </cfRule>
  </conditionalFormatting>
  <conditionalFormatting sqref="C250:C251">
    <cfRule type="cellIs" dxfId="363" priority="273" operator="equal">
      <formula>"Diferentes"</formula>
    </cfRule>
  </conditionalFormatting>
  <conditionalFormatting sqref="C247:C248">
    <cfRule type="cellIs" dxfId="362" priority="275" operator="equal">
      <formula>"Diferentes"</formula>
    </cfRule>
  </conditionalFormatting>
  <conditionalFormatting sqref="I247:I248">
    <cfRule type="cellIs" dxfId="361" priority="274" operator="equal">
      <formula>"Diferentes"</formula>
    </cfRule>
  </conditionalFormatting>
  <conditionalFormatting sqref="I250:I251">
    <cfRule type="cellIs" dxfId="360" priority="272" operator="equal">
      <formula>"Diferentes"</formula>
    </cfRule>
  </conditionalFormatting>
  <conditionalFormatting sqref="C253:C255">
    <cfRule type="cellIs" dxfId="359" priority="267" operator="equal">
      <formula>"Diferentes"</formula>
    </cfRule>
  </conditionalFormatting>
  <conditionalFormatting sqref="I253:I255">
    <cfRule type="cellIs" dxfId="358" priority="266" operator="equal">
      <formula>"Diferentes"</formula>
    </cfRule>
  </conditionalFormatting>
  <conditionalFormatting sqref="C257:C258">
    <cfRule type="cellIs" dxfId="357" priority="261" operator="equal">
      <formula>"Diferentes"</formula>
    </cfRule>
  </conditionalFormatting>
  <conditionalFormatting sqref="I257:I258">
    <cfRule type="cellIs" dxfId="356" priority="260" operator="equal">
      <formula>"Diferentes"</formula>
    </cfRule>
  </conditionalFormatting>
  <conditionalFormatting sqref="C290:C291">
    <cfRule type="cellIs" dxfId="355" priority="254" operator="equal">
      <formula>"Diferentes"</formula>
    </cfRule>
  </conditionalFormatting>
  <conditionalFormatting sqref="I320:I321">
    <cfRule type="cellIs" dxfId="354" priority="243" operator="equal">
      <formula>"Diferentes"</formula>
    </cfRule>
  </conditionalFormatting>
  <conditionalFormatting sqref="I290:I291">
    <cfRule type="cellIs" dxfId="353" priority="253" operator="equal">
      <formula>"Diferentes"</formula>
    </cfRule>
  </conditionalFormatting>
  <conditionalFormatting sqref="C293:C294">
    <cfRule type="cellIs" dxfId="352" priority="250" operator="equal">
      <formula>"Diferentes"</formula>
    </cfRule>
  </conditionalFormatting>
  <conditionalFormatting sqref="C320:C321">
    <cfRule type="cellIs" dxfId="351" priority="244" operator="equal">
      <formula>"Diferentes"</formula>
    </cfRule>
  </conditionalFormatting>
  <conditionalFormatting sqref="C284:C285">
    <cfRule type="cellIs" dxfId="350" priority="256" operator="equal">
      <formula>"Diferentes"</formula>
    </cfRule>
  </conditionalFormatting>
  <conditionalFormatting sqref="I284:I285">
    <cfRule type="cellIs" dxfId="349" priority="255" operator="equal">
      <formula>"Diferentes"</formula>
    </cfRule>
  </conditionalFormatting>
  <conditionalFormatting sqref="C296:C298">
    <cfRule type="cellIs" dxfId="348" priority="246" operator="equal">
      <formula>"Diferentes"</formula>
    </cfRule>
  </conditionalFormatting>
  <conditionalFormatting sqref="I296:I298">
    <cfRule type="cellIs" dxfId="347" priority="245" operator="equal">
      <formula>"Diferentes"</formula>
    </cfRule>
  </conditionalFormatting>
  <conditionalFormatting sqref="C287:C288">
    <cfRule type="cellIs" dxfId="346" priority="248" operator="equal">
      <formula>"Diferentes"</formula>
    </cfRule>
  </conditionalFormatting>
  <conditionalFormatting sqref="I287:I288">
    <cfRule type="cellIs" dxfId="345" priority="247" operator="equal">
      <formula>"Diferentes"</formula>
    </cfRule>
  </conditionalFormatting>
  <conditionalFormatting sqref="C299:C300">
    <cfRule type="cellIs" dxfId="344" priority="241" operator="equal">
      <formula>"Diferentes"</formula>
    </cfRule>
  </conditionalFormatting>
  <conditionalFormatting sqref="I299:I300">
    <cfRule type="cellIs" dxfId="343" priority="240" operator="equal">
      <formula>"Diferentes"</formula>
    </cfRule>
  </conditionalFormatting>
  <conditionalFormatting sqref="G299:G300">
    <cfRule type="cellIs" dxfId="342" priority="152" operator="equal">
      <formula>"Diferentes"</formula>
    </cfRule>
  </conditionalFormatting>
  <conditionalFormatting sqref="G3:G4">
    <cfRule type="cellIs" dxfId="341" priority="239" operator="equal">
      <formula>"Diferentes"</formula>
    </cfRule>
  </conditionalFormatting>
  <conditionalFormatting sqref="G6:G7">
    <cfRule type="cellIs" dxfId="340" priority="238" operator="equal">
      <formula>"Diferentes"</formula>
    </cfRule>
  </conditionalFormatting>
  <conditionalFormatting sqref="G9:G11">
    <cfRule type="cellIs" dxfId="339" priority="237" operator="equal">
      <formula>"Diferentes"</formula>
    </cfRule>
  </conditionalFormatting>
  <conditionalFormatting sqref="G13:G14">
    <cfRule type="cellIs" dxfId="338" priority="236" operator="equal">
      <formula>"Diferentes"</formula>
    </cfRule>
  </conditionalFormatting>
  <conditionalFormatting sqref="G16:G17">
    <cfRule type="cellIs" dxfId="337" priority="235" operator="equal">
      <formula>"Diferentes"</formula>
    </cfRule>
  </conditionalFormatting>
  <conditionalFormatting sqref="G19:G20">
    <cfRule type="cellIs" dxfId="336" priority="234" operator="equal">
      <formula>"Diferentes"</formula>
    </cfRule>
  </conditionalFormatting>
  <conditionalFormatting sqref="G22:G23">
    <cfRule type="cellIs" dxfId="335" priority="233" operator="equal">
      <formula>"Diferentes"</formula>
    </cfRule>
  </conditionalFormatting>
  <conditionalFormatting sqref="G25:G26">
    <cfRule type="cellIs" dxfId="334" priority="232" operator="equal">
      <formula>"Diferentes"</formula>
    </cfRule>
  </conditionalFormatting>
  <conditionalFormatting sqref="G28:G29">
    <cfRule type="cellIs" dxfId="333" priority="231" operator="equal">
      <formula>"Diferentes"</formula>
    </cfRule>
  </conditionalFormatting>
  <conditionalFormatting sqref="G31:G32">
    <cfRule type="cellIs" dxfId="332" priority="230" operator="equal">
      <formula>"Diferentes"</formula>
    </cfRule>
  </conditionalFormatting>
  <conditionalFormatting sqref="G34:G35">
    <cfRule type="cellIs" dxfId="331" priority="229" operator="equal">
      <formula>"Diferentes"</formula>
    </cfRule>
  </conditionalFormatting>
  <conditionalFormatting sqref="G37:G38">
    <cfRule type="cellIs" dxfId="330" priority="228" operator="equal">
      <formula>"Diferentes"</formula>
    </cfRule>
  </conditionalFormatting>
  <conditionalFormatting sqref="G40:G41">
    <cfRule type="cellIs" dxfId="329" priority="227" operator="equal">
      <formula>"Diferentes"</formula>
    </cfRule>
  </conditionalFormatting>
  <conditionalFormatting sqref="G43:G44">
    <cfRule type="cellIs" dxfId="328" priority="226" operator="equal">
      <formula>"Diferentes"</formula>
    </cfRule>
  </conditionalFormatting>
  <conditionalFormatting sqref="G46:G47">
    <cfRule type="cellIs" dxfId="327" priority="225" operator="equal">
      <formula>"Diferentes"</formula>
    </cfRule>
  </conditionalFormatting>
  <conditionalFormatting sqref="G49:G50">
    <cfRule type="cellIs" dxfId="326" priority="224" operator="equal">
      <formula>"Diferentes"</formula>
    </cfRule>
  </conditionalFormatting>
  <conditionalFormatting sqref="G52:G53">
    <cfRule type="cellIs" dxfId="325" priority="223" operator="equal">
      <formula>"Diferentes"</formula>
    </cfRule>
  </conditionalFormatting>
  <conditionalFormatting sqref="G55:G56">
    <cfRule type="cellIs" dxfId="324" priority="222" operator="equal">
      <formula>"Diferentes"</formula>
    </cfRule>
  </conditionalFormatting>
  <conditionalFormatting sqref="G58:G59">
    <cfRule type="cellIs" dxfId="323" priority="221" operator="equal">
      <formula>"Diferentes"</formula>
    </cfRule>
  </conditionalFormatting>
  <conditionalFormatting sqref="G61:G62">
    <cfRule type="cellIs" dxfId="322" priority="220" operator="equal">
      <formula>"Diferentes"</formula>
    </cfRule>
  </conditionalFormatting>
  <conditionalFormatting sqref="G64:G65">
    <cfRule type="cellIs" dxfId="321" priority="219" operator="equal">
      <formula>"Diferentes"</formula>
    </cfRule>
  </conditionalFormatting>
  <conditionalFormatting sqref="G67:G68">
    <cfRule type="cellIs" dxfId="320" priority="218" operator="equal">
      <formula>"Diferentes"</formula>
    </cfRule>
  </conditionalFormatting>
  <conditionalFormatting sqref="G70:G71">
    <cfRule type="cellIs" dxfId="319" priority="217" operator="equal">
      <formula>"Diferentes"</formula>
    </cfRule>
  </conditionalFormatting>
  <conditionalFormatting sqref="G73:G74">
    <cfRule type="cellIs" dxfId="318" priority="216" operator="equal">
      <formula>"Diferentes"</formula>
    </cfRule>
  </conditionalFormatting>
  <conditionalFormatting sqref="G76:G77">
    <cfRule type="cellIs" dxfId="317" priority="215" operator="equal">
      <formula>"Diferentes"</formula>
    </cfRule>
  </conditionalFormatting>
  <conditionalFormatting sqref="G79:G80">
    <cfRule type="cellIs" dxfId="316" priority="214" operator="equal">
      <formula>"Diferentes"</formula>
    </cfRule>
  </conditionalFormatting>
  <conditionalFormatting sqref="G82:G83">
    <cfRule type="cellIs" dxfId="315" priority="213" operator="equal">
      <formula>"Diferentes"</formula>
    </cfRule>
  </conditionalFormatting>
  <conditionalFormatting sqref="G85:G86">
    <cfRule type="cellIs" dxfId="314" priority="212" operator="equal">
      <formula>"Diferentes"</formula>
    </cfRule>
  </conditionalFormatting>
  <conditionalFormatting sqref="G88:G89">
    <cfRule type="cellIs" dxfId="313" priority="211" operator="equal">
      <formula>"Diferentes"</formula>
    </cfRule>
  </conditionalFormatting>
  <conditionalFormatting sqref="G91:G92">
    <cfRule type="cellIs" dxfId="312" priority="210" operator="equal">
      <formula>"Diferentes"</formula>
    </cfRule>
  </conditionalFormatting>
  <conditionalFormatting sqref="G94:G95">
    <cfRule type="cellIs" dxfId="311" priority="209" operator="equal">
      <formula>"Diferentes"</formula>
    </cfRule>
  </conditionalFormatting>
  <conditionalFormatting sqref="G225:G226">
    <cfRule type="cellIs" dxfId="310" priority="179" operator="equal">
      <formula>"Diferentes"</formula>
    </cfRule>
  </conditionalFormatting>
  <conditionalFormatting sqref="G101:G102">
    <cfRule type="cellIs" dxfId="309" priority="208" operator="equal">
      <formula>"Diferentes"</formula>
    </cfRule>
  </conditionalFormatting>
  <conditionalFormatting sqref="G104:G105">
    <cfRule type="cellIs" dxfId="308" priority="207" operator="equal">
      <formula>"Diferentes"</formula>
    </cfRule>
  </conditionalFormatting>
  <conditionalFormatting sqref="G107:G108">
    <cfRule type="cellIs" dxfId="307" priority="206" operator="equal">
      <formula>"Diferentes"</formula>
    </cfRule>
  </conditionalFormatting>
  <conditionalFormatting sqref="G110:G111">
    <cfRule type="cellIs" dxfId="306" priority="205" operator="equal">
      <formula>"Diferentes"</formula>
    </cfRule>
  </conditionalFormatting>
  <conditionalFormatting sqref="G113:G114">
    <cfRule type="cellIs" dxfId="305" priority="204" operator="equal">
      <formula>"Diferentes"</formula>
    </cfRule>
  </conditionalFormatting>
  <conditionalFormatting sqref="G116:G117">
    <cfRule type="cellIs" dxfId="304" priority="203" operator="equal">
      <formula>"Diferentes"</formula>
    </cfRule>
  </conditionalFormatting>
  <conditionalFormatting sqref="G143:G144">
    <cfRule type="cellIs" dxfId="303" priority="202" operator="equal">
      <formula>"Diferentes"</formula>
    </cfRule>
  </conditionalFormatting>
  <conditionalFormatting sqref="G154:G155">
    <cfRule type="cellIs" dxfId="302" priority="201" operator="equal">
      <formula>"Diferentes"</formula>
    </cfRule>
  </conditionalFormatting>
  <conditionalFormatting sqref="G161:G162">
    <cfRule type="cellIs" dxfId="301" priority="199" operator="equal">
      <formula>"Diferentes"</formula>
    </cfRule>
  </conditionalFormatting>
  <conditionalFormatting sqref="G164:G165">
    <cfRule type="cellIs" dxfId="300" priority="198" operator="equal">
      <formula>"Diferentes"</formula>
    </cfRule>
  </conditionalFormatting>
  <conditionalFormatting sqref="G167:G168">
    <cfRule type="cellIs" dxfId="299" priority="197" operator="equal">
      <formula>"Diferentes"</formula>
    </cfRule>
  </conditionalFormatting>
  <conditionalFormatting sqref="G170:G171">
    <cfRule type="cellIs" dxfId="298" priority="196" operator="equal">
      <formula>"Diferentes"</formula>
    </cfRule>
  </conditionalFormatting>
  <conditionalFormatting sqref="G173:G174">
    <cfRule type="cellIs" dxfId="297" priority="195" operator="equal">
      <formula>"Diferentes"</formula>
    </cfRule>
  </conditionalFormatting>
  <conditionalFormatting sqref="G176:G177">
    <cfRule type="cellIs" dxfId="296" priority="194" operator="equal">
      <formula>"Diferentes"</formula>
    </cfRule>
  </conditionalFormatting>
  <conditionalFormatting sqref="G179:G180">
    <cfRule type="cellIs" dxfId="295" priority="193" operator="equal">
      <formula>"Diferentes"</formula>
    </cfRule>
  </conditionalFormatting>
  <conditionalFormatting sqref="G182:G183">
    <cfRule type="cellIs" dxfId="294" priority="192" operator="equal">
      <formula>"Diferentes"</formula>
    </cfRule>
  </conditionalFormatting>
  <conditionalFormatting sqref="G185:G186">
    <cfRule type="cellIs" dxfId="293" priority="191" operator="equal">
      <formula>"Diferentes"</formula>
    </cfRule>
  </conditionalFormatting>
  <conditionalFormatting sqref="G188:G189">
    <cfRule type="cellIs" dxfId="292" priority="190" operator="equal">
      <formula>"Diferentes"</formula>
    </cfRule>
  </conditionalFormatting>
  <conditionalFormatting sqref="G191:G192">
    <cfRule type="cellIs" dxfId="291" priority="189" operator="equal">
      <formula>"Diferentes"</formula>
    </cfRule>
  </conditionalFormatting>
  <conditionalFormatting sqref="G194:G195">
    <cfRule type="cellIs" dxfId="290" priority="188" operator="equal">
      <formula>"Diferentes"</formula>
    </cfRule>
  </conditionalFormatting>
  <conditionalFormatting sqref="G197:G198">
    <cfRule type="cellIs" dxfId="289" priority="187" operator="equal">
      <formula>"Diferentes"</formula>
    </cfRule>
  </conditionalFormatting>
  <conditionalFormatting sqref="G200:G201">
    <cfRule type="cellIs" dxfId="288" priority="186" operator="equal">
      <formula>"Diferentes"</formula>
    </cfRule>
  </conditionalFormatting>
  <conditionalFormatting sqref="G203:G204">
    <cfRule type="cellIs" dxfId="287" priority="185" operator="equal">
      <formula>"Diferentes"</formula>
    </cfRule>
  </conditionalFormatting>
  <conditionalFormatting sqref="G206:G207">
    <cfRule type="cellIs" dxfId="286" priority="184" operator="equal">
      <formula>"Diferentes"</formula>
    </cfRule>
  </conditionalFormatting>
  <conditionalFormatting sqref="G244:G245">
    <cfRule type="cellIs" dxfId="285" priority="165" operator="equal">
      <formula>"Diferentes"</formula>
    </cfRule>
  </conditionalFormatting>
  <conditionalFormatting sqref="G213:G214">
    <cfRule type="cellIs" dxfId="284" priority="183" operator="equal">
      <formula>"Diferentes"</formula>
    </cfRule>
  </conditionalFormatting>
  <conditionalFormatting sqref="G216:G217">
    <cfRule type="cellIs" dxfId="283" priority="182" operator="equal">
      <formula>"Diferentes"</formula>
    </cfRule>
  </conditionalFormatting>
  <conditionalFormatting sqref="G219:G220">
    <cfRule type="cellIs" dxfId="282" priority="181" operator="equal">
      <formula>"Diferentes"</formula>
    </cfRule>
  </conditionalFormatting>
  <conditionalFormatting sqref="G222:G223">
    <cfRule type="cellIs" dxfId="281" priority="180" operator="equal">
      <formula>"Diferentes"</formula>
    </cfRule>
  </conditionalFormatting>
  <conditionalFormatting sqref="G234:G235">
    <cfRule type="cellIs" dxfId="280" priority="176" operator="equal">
      <formula>"Diferentes"</formula>
    </cfRule>
  </conditionalFormatting>
  <conditionalFormatting sqref="G228:G229">
    <cfRule type="cellIs" dxfId="279" priority="178" operator="equal">
      <formula>"Diferentes"</formula>
    </cfRule>
  </conditionalFormatting>
  <conditionalFormatting sqref="G231:G232">
    <cfRule type="cellIs" dxfId="278" priority="177" operator="equal">
      <formula>"Diferentes"</formula>
    </cfRule>
  </conditionalFormatting>
  <conditionalFormatting sqref="G97:G99">
    <cfRule type="cellIs" dxfId="277" priority="175" operator="equal">
      <formula>"Diferentes"</formula>
    </cfRule>
  </conditionalFormatting>
  <conditionalFormatting sqref="G122:G124">
    <cfRule type="cellIs" dxfId="276" priority="173" operator="equal">
      <formula>"Diferentes"</formula>
    </cfRule>
  </conditionalFormatting>
  <conditionalFormatting sqref="G139:G141">
    <cfRule type="cellIs" dxfId="275" priority="172" operator="equal">
      <formula>"Diferentes"</formula>
    </cfRule>
  </conditionalFormatting>
  <conditionalFormatting sqref="G146:G148">
    <cfRule type="cellIs" dxfId="274" priority="171" operator="equal">
      <formula>"Diferentes"</formula>
    </cfRule>
  </conditionalFormatting>
  <conditionalFormatting sqref="G150:G152">
    <cfRule type="cellIs" dxfId="273" priority="170" operator="equal">
      <formula>"Diferentes"</formula>
    </cfRule>
  </conditionalFormatting>
  <conditionalFormatting sqref="G209:G211">
    <cfRule type="cellIs" dxfId="272" priority="169" operator="equal">
      <formula>"Diferentes"</formula>
    </cfRule>
  </conditionalFormatting>
  <conditionalFormatting sqref="G293:G294">
    <cfRule type="cellIs" dxfId="271" priority="157" operator="equal">
      <formula>"Diferentes"</formula>
    </cfRule>
  </conditionalFormatting>
  <conditionalFormatting sqref="G126:G137">
    <cfRule type="cellIs" dxfId="270" priority="168" operator="equal">
      <formula>"Diferentes"</formula>
    </cfRule>
  </conditionalFormatting>
  <conditionalFormatting sqref="G237:G239">
    <cfRule type="cellIs" dxfId="269" priority="167" operator="equal">
      <formula>"Diferentes"</formula>
    </cfRule>
  </conditionalFormatting>
  <conditionalFormatting sqref="G241:G242">
    <cfRule type="cellIs" dxfId="268" priority="166" operator="equal">
      <formula>"Diferentes"</formula>
    </cfRule>
  </conditionalFormatting>
  <conditionalFormatting sqref="G247:G248">
    <cfRule type="cellIs" dxfId="267" priority="164" operator="equal">
      <formula>"Diferentes"</formula>
    </cfRule>
  </conditionalFormatting>
  <conditionalFormatting sqref="G250:G251">
    <cfRule type="cellIs" dxfId="266" priority="163" operator="equal">
      <formula>"Diferentes"</formula>
    </cfRule>
  </conditionalFormatting>
  <conditionalFormatting sqref="G253:G255">
    <cfRule type="cellIs" dxfId="265" priority="162" operator="equal">
      <formula>"Diferentes"</formula>
    </cfRule>
  </conditionalFormatting>
  <conditionalFormatting sqref="G257:G258">
    <cfRule type="cellIs" dxfId="264" priority="161" operator="equal">
      <formula>"Diferentes"</formula>
    </cfRule>
  </conditionalFormatting>
  <conditionalFormatting sqref="G320:G321">
    <cfRule type="cellIs" dxfId="263" priority="154" operator="equal">
      <formula>"Diferentes"</formula>
    </cfRule>
  </conditionalFormatting>
  <conditionalFormatting sqref="G290:G291">
    <cfRule type="cellIs" dxfId="262" priority="158" operator="equal">
      <formula>"Diferentes"</formula>
    </cfRule>
  </conditionalFormatting>
  <conditionalFormatting sqref="G284:G285">
    <cfRule type="cellIs" dxfId="261" priority="159" operator="equal">
      <formula>"Diferentes"</formula>
    </cfRule>
  </conditionalFormatting>
  <conditionalFormatting sqref="G296:G298">
    <cfRule type="cellIs" dxfId="260" priority="155" operator="equal">
      <formula>"Diferentes"</formula>
    </cfRule>
  </conditionalFormatting>
  <conditionalFormatting sqref="G287:G288">
    <cfRule type="cellIs" dxfId="259" priority="156" operator="equal">
      <formula>"Diferentes"</formula>
    </cfRule>
  </conditionalFormatting>
  <conditionalFormatting sqref="G324:G326 I324:I326">
    <cfRule type="cellIs" dxfId="258" priority="151" operator="equal">
      <formula>"Diferentes"</formula>
    </cfRule>
  </conditionalFormatting>
  <conditionalFormatting sqref="E3:E4">
    <cfRule type="cellIs" dxfId="257" priority="150" operator="equal">
      <formula>"Diferentes"</formula>
    </cfRule>
  </conditionalFormatting>
  <conditionalFormatting sqref="E6:E7">
    <cfRule type="cellIs" dxfId="256" priority="149" operator="equal">
      <formula>"Diferentes"</formula>
    </cfRule>
  </conditionalFormatting>
  <conditionalFormatting sqref="E9:E11">
    <cfRule type="cellIs" dxfId="255" priority="148" operator="equal">
      <formula>"Diferentes"</formula>
    </cfRule>
  </conditionalFormatting>
  <conditionalFormatting sqref="E13:E14">
    <cfRule type="cellIs" dxfId="254" priority="147" operator="equal">
      <formula>"Diferentes"</formula>
    </cfRule>
  </conditionalFormatting>
  <conditionalFormatting sqref="E16:E17">
    <cfRule type="cellIs" dxfId="253" priority="146" operator="equal">
      <formula>"Diferentes"</formula>
    </cfRule>
  </conditionalFormatting>
  <conditionalFormatting sqref="E19:E20">
    <cfRule type="cellIs" dxfId="252" priority="145" operator="equal">
      <formula>"Diferentes"</formula>
    </cfRule>
  </conditionalFormatting>
  <conditionalFormatting sqref="E22:E23">
    <cfRule type="cellIs" dxfId="251" priority="144" operator="equal">
      <formula>"Diferentes"</formula>
    </cfRule>
  </conditionalFormatting>
  <conditionalFormatting sqref="E25:E26">
    <cfRule type="cellIs" dxfId="250" priority="143" operator="equal">
      <formula>"Diferentes"</formula>
    </cfRule>
  </conditionalFormatting>
  <conditionalFormatting sqref="E28:E29">
    <cfRule type="cellIs" dxfId="249" priority="142" operator="equal">
      <formula>"Diferentes"</formula>
    </cfRule>
  </conditionalFormatting>
  <conditionalFormatting sqref="E31:E32">
    <cfRule type="cellIs" dxfId="248" priority="141" operator="equal">
      <formula>"Diferentes"</formula>
    </cfRule>
  </conditionalFormatting>
  <conditionalFormatting sqref="E34:E35">
    <cfRule type="cellIs" dxfId="247" priority="140" operator="equal">
      <formula>"Diferentes"</formula>
    </cfRule>
  </conditionalFormatting>
  <conditionalFormatting sqref="E37:E38">
    <cfRule type="cellIs" dxfId="246" priority="139" operator="equal">
      <formula>"Diferentes"</formula>
    </cfRule>
  </conditionalFormatting>
  <conditionalFormatting sqref="E40:E41">
    <cfRule type="cellIs" dxfId="245" priority="138" operator="equal">
      <formula>"Diferentes"</formula>
    </cfRule>
  </conditionalFormatting>
  <conditionalFormatting sqref="E43:E44">
    <cfRule type="cellIs" dxfId="244" priority="137" operator="equal">
      <formula>"Diferentes"</formula>
    </cfRule>
  </conditionalFormatting>
  <conditionalFormatting sqref="E46:E47">
    <cfRule type="cellIs" dxfId="243" priority="136" operator="equal">
      <formula>"Diferentes"</formula>
    </cfRule>
  </conditionalFormatting>
  <conditionalFormatting sqref="E49:E50">
    <cfRule type="cellIs" dxfId="242" priority="135" operator="equal">
      <formula>"Diferentes"</formula>
    </cfRule>
  </conditionalFormatting>
  <conditionalFormatting sqref="E52:E53">
    <cfRule type="cellIs" dxfId="241" priority="134" operator="equal">
      <formula>"Diferentes"</formula>
    </cfRule>
  </conditionalFormatting>
  <conditionalFormatting sqref="E55:E56">
    <cfRule type="cellIs" dxfId="240" priority="133" operator="equal">
      <formula>"Diferentes"</formula>
    </cfRule>
  </conditionalFormatting>
  <conditionalFormatting sqref="E58:E59">
    <cfRule type="cellIs" dxfId="239" priority="132" operator="equal">
      <formula>"Diferentes"</formula>
    </cfRule>
  </conditionalFormatting>
  <conditionalFormatting sqref="E61:E62">
    <cfRule type="cellIs" dxfId="238" priority="131" operator="equal">
      <formula>"Diferentes"</formula>
    </cfRule>
  </conditionalFormatting>
  <conditionalFormatting sqref="E64:E65">
    <cfRule type="cellIs" dxfId="237" priority="130" operator="equal">
      <formula>"Diferentes"</formula>
    </cfRule>
  </conditionalFormatting>
  <conditionalFormatting sqref="E67:E68">
    <cfRule type="cellIs" dxfId="236" priority="129" operator="equal">
      <formula>"Diferentes"</formula>
    </cfRule>
  </conditionalFormatting>
  <conditionalFormatting sqref="E70:E71">
    <cfRule type="cellIs" dxfId="235" priority="128" operator="equal">
      <formula>"Diferentes"</formula>
    </cfRule>
  </conditionalFormatting>
  <conditionalFormatting sqref="E73:E74">
    <cfRule type="cellIs" dxfId="234" priority="127" operator="equal">
      <formula>"Diferentes"</formula>
    </cfRule>
  </conditionalFormatting>
  <conditionalFormatting sqref="E76:E77">
    <cfRule type="cellIs" dxfId="233" priority="126" operator="equal">
      <formula>"Diferentes"</formula>
    </cfRule>
  </conditionalFormatting>
  <conditionalFormatting sqref="E79:E80">
    <cfRule type="cellIs" dxfId="232" priority="125" operator="equal">
      <formula>"Diferentes"</formula>
    </cfRule>
  </conditionalFormatting>
  <conditionalFormatting sqref="E82:E83">
    <cfRule type="cellIs" dxfId="231" priority="124" operator="equal">
      <formula>"Diferentes"</formula>
    </cfRule>
  </conditionalFormatting>
  <conditionalFormatting sqref="E85:E86">
    <cfRule type="cellIs" dxfId="230" priority="123" operator="equal">
      <formula>"Diferentes"</formula>
    </cfRule>
  </conditionalFormatting>
  <conditionalFormatting sqref="E88:E89">
    <cfRule type="cellIs" dxfId="229" priority="122" operator="equal">
      <formula>"Diferentes"</formula>
    </cfRule>
  </conditionalFormatting>
  <conditionalFormatting sqref="E91:E92">
    <cfRule type="cellIs" dxfId="228" priority="121" operator="equal">
      <formula>"Diferentes"</formula>
    </cfRule>
  </conditionalFormatting>
  <conditionalFormatting sqref="E94:E95">
    <cfRule type="cellIs" dxfId="227" priority="120" operator="equal">
      <formula>"Diferentes"</formula>
    </cfRule>
  </conditionalFormatting>
  <conditionalFormatting sqref="E225:E226">
    <cfRule type="cellIs" dxfId="226" priority="90" operator="equal">
      <formula>"Diferentes"</formula>
    </cfRule>
  </conditionalFormatting>
  <conditionalFormatting sqref="E101:E102">
    <cfRule type="cellIs" dxfId="225" priority="119" operator="equal">
      <formula>"Diferentes"</formula>
    </cfRule>
  </conditionalFormatting>
  <conditionalFormatting sqref="E104:E105">
    <cfRule type="cellIs" dxfId="224" priority="118" operator="equal">
      <formula>"Diferentes"</formula>
    </cfRule>
  </conditionalFormatting>
  <conditionalFormatting sqref="E107:E108">
    <cfRule type="cellIs" dxfId="223" priority="117" operator="equal">
      <formula>"Diferentes"</formula>
    </cfRule>
  </conditionalFormatting>
  <conditionalFormatting sqref="E110:E111">
    <cfRule type="cellIs" dxfId="222" priority="116" operator="equal">
      <formula>"Diferentes"</formula>
    </cfRule>
  </conditionalFormatting>
  <conditionalFormatting sqref="E113:E114">
    <cfRule type="cellIs" dxfId="221" priority="115" operator="equal">
      <formula>"Diferentes"</formula>
    </cfRule>
  </conditionalFormatting>
  <conditionalFormatting sqref="E116:E117">
    <cfRule type="cellIs" dxfId="220" priority="114" operator="equal">
      <formula>"Diferentes"</formula>
    </cfRule>
  </conditionalFormatting>
  <conditionalFormatting sqref="E143:E144">
    <cfRule type="cellIs" dxfId="219" priority="113" operator="equal">
      <formula>"Diferentes"</formula>
    </cfRule>
  </conditionalFormatting>
  <conditionalFormatting sqref="E154:E155">
    <cfRule type="cellIs" dxfId="218" priority="112" operator="equal">
      <formula>"Diferentes"</formula>
    </cfRule>
  </conditionalFormatting>
  <conditionalFormatting sqref="E161:E162">
    <cfRule type="cellIs" dxfId="217" priority="110" operator="equal">
      <formula>"Diferentes"</formula>
    </cfRule>
  </conditionalFormatting>
  <conditionalFormatting sqref="E164:E165">
    <cfRule type="cellIs" dxfId="216" priority="109" operator="equal">
      <formula>"Diferentes"</formula>
    </cfRule>
  </conditionalFormatting>
  <conditionalFormatting sqref="E167:E168">
    <cfRule type="cellIs" dxfId="215" priority="108" operator="equal">
      <formula>"Diferentes"</formula>
    </cfRule>
  </conditionalFormatting>
  <conditionalFormatting sqref="E170:E171">
    <cfRule type="cellIs" dxfId="214" priority="107" operator="equal">
      <formula>"Diferentes"</formula>
    </cfRule>
  </conditionalFormatting>
  <conditionalFormatting sqref="E173:E174">
    <cfRule type="cellIs" dxfId="213" priority="106" operator="equal">
      <formula>"Diferentes"</formula>
    </cfRule>
  </conditionalFormatting>
  <conditionalFormatting sqref="E176:E177">
    <cfRule type="cellIs" dxfId="212" priority="105" operator="equal">
      <formula>"Diferentes"</formula>
    </cfRule>
  </conditionalFormatting>
  <conditionalFormatting sqref="E179:E180">
    <cfRule type="cellIs" dxfId="211" priority="104" operator="equal">
      <formula>"Diferentes"</formula>
    </cfRule>
  </conditionalFormatting>
  <conditionalFormatting sqref="E182:E183">
    <cfRule type="cellIs" dxfId="210" priority="103" operator="equal">
      <formula>"Diferentes"</formula>
    </cfRule>
  </conditionalFormatting>
  <conditionalFormatting sqref="E185:E186">
    <cfRule type="cellIs" dxfId="209" priority="102" operator="equal">
      <formula>"Diferentes"</formula>
    </cfRule>
  </conditionalFormatting>
  <conditionalFormatting sqref="E188:E189">
    <cfRule type="cellIs" dxfId="208" priority="101" operator="equal">
      <formula>"Diferentes"</formula>
    </cfRule>
  </conditionalFormatting>
  <conditionalFormatting sqref="E191:E192">
    <cfRule type="cellIs" dxfId="207" priority="100" operator="equal">
      <formula>"Diferentes"</formula>
    </cfRule>
  </conditionalFormatting>
  <conditionalFormatting sqref="E194:E195">
    <cfRule type="cellIs" dxfId="206" priority="99" operator="equal">
      <formula>"Diferentes"</formula>
    </cfRule>
  </conditionalFormatting>
  <conditionalFormatting sqref="E197:E198">
    <cfRule type="cellIs" dxfId="205" priority="98" operator="equal">
      <formula>"Diferentes"</formula>
    </cfRule>
  </conditionalFormatting>
  <conditionalFormatting sqref="E200:E201">
    <cfRule type="cellIs" dxfId="204" priority="97" operator="equal">
      <formula>"Diferentes"</formula>
    </cfRule>
  </conditionalFormatting>
  <conditionalFormatting sqref="E203:E204">
    <cfRule type="cellIs" dxfId="203" priority="96" operator="equal">
      <formula>"Diferentes"</formula>
    </cfRule>
  </conditionalFormatting>
  <conditionalFormatting sqref="E206:E207">
    <cfRule type="cellIs" dxfId="202" priority="95" operator="equal">
      <formula>"Diferentes"</formula>
    </cfRule>
  </conditionalFormatting>
  <conditionalFormatting sqref="E244:E245">
    <cfRule type="cellIs" dxfId="201" priority="76" operator="equal">
      <formula>"Diferentes"</formula>
    </cfRule>
  </conditionalFormatting>
  <conditionalFormatting sqref="E213:E214">
    <cfRule type="cellIs" dxfId="200" priority="94" operator="equal">
      <formula>"Diferentes"</formula>
    </cfRule>
  </conditionalFormatting>
  <conditionalFormatting sqref="E216:E217">
    <cfRule type="cellIs" dxfId="199" priority="93" operator="equal">
      <formula>"Diferentes"</formula>
    </cfRule>
  </conditionalFormatting>
  <conditionalFormatting sqref="E219:E220">
    <cfRule type="cellIs" dxfId="198" priority="92" operator="equal">
      <formula>"Diferentes"</formula>
    </cfRule>
  </conditionalFormatting>
  <conditionalFormatting sqref="E222:E223">
    <cfRule type="cellIs" dxfId="197" priority="91" operator="equal">
      <formula>"Diferentes"</formula>
    </cfRule>
  </conditionalFormatting>
  <conditionalFormatting sqref="E234:E235">
    <cfRule type="cellIs" dxfId="196" priority="87" operator="equal">
      <formula>"Diferentes"</formula>
    </cfRule>
  </conditionalFormatting>
  <conditionalFormatting sqref="E228:E229">
    <cfRule type="cellIs" dxfId="195" priority="89" operator="equal">
      <formula>"Diferentes"</formula>
    </cfRule>
  </conditionalFormatting>
  <conditionalFormatting sqref="E231:E232">
    <cfRule type="cellIs" dxfId="194" priority="88" operator="equal">
      <formula>"Diferentes"</formula>
    </cfRule>
  </conditionalFormatting>
  <conditionalFormatting sqref="E97:E99">
    <cfRule type="cellIs" dxfId="193" priority="86" operator="equal">
      <formula>"Diferentes"</formula>
    </cfRule>
  </conditionalFormatting>
  <conditionalFormatting sqref="E122:E124">
    <cfRule type="cellIs" dxfId="192" priority="84" operator="equal">
      <formula>"Diferentes"</formula>
    </cfRule>
  </conditionalFormatting>
  <conditionalFormatting sqref="E139:E141">
    <cfRule type="cellIs" dxfId="191" priority="83" operator="equal">
      <formula>"Diferentes"</formula>
    </cfRule>
  </conditionalFormatting>
  <conditionalFormatting sqref="E146:E148">
    <cfRule type="cellIs" dxfId="190" priority="82" operator="equal">
      <formula>"Diferentes"</formula>
    </cfRule>
  </conditionalFormatting>
  <conditionalFormatting sqref="E150:E152">
    <cfRule type="cellIs" dxfId="189" priority="81" operator="equal">
      <formula>"Diferentes"</formula>
    </cfRule>
  </conditionalFormatting>
  <conditionalFormatting sqref="E209:E211">
    <cfRule type="cellIs" dxfId="188" priority="80" operator="equal">
      <formula>"Diferentes"</formula>
    </cfRule>
  </conditionalFormatting>
  <conditionalFormatting sqref="E293:E294">
    <cfRule type="cellIs" dxfId="187" priority="69" operator="equal">
      <formula>"Diferentes"</formula>
    </cfRule>
  </conditionalFormatting>
  <conditionalFormatting sqref="E126:E137">
    <cfRule type="cellIs" dxfId="186" priority="79" operator="equal">
      <formula>"Diferentes"</formula>
    </cfRule>
  </conditionalFormatting>
  <conditionalFormatting sqref="E237:E239">
    <cfRule type="cellIs" dxfId="185" priority="78" operator="equal">
      <formula>"Diferentes"</formula>
    </cfRule>
  </conditionalFormatting>
  <conditionalFormatting sqref="E241:E242">
    <cfRule type="cellIs" dxfId="184" priority="77" operator="equal">
      <formula>"Diferentes"</formula>
    </cfRule>
  </conditionalFormatting>
  <conditionalFormatting sqref="E247:E248">
    <cfRule type="cellIs" dxfId="183" priority="75" operator="equal">
      <formula>"Diferentes"</formula>
    </cfRule>
  </conditionalFormatting>
  <conditionalFormatting sqref="E250:E251">
    <cfRule type="cellIs" dxfId="182" priority="74" operator="equal">
      <formula>"Diferentes"</formula>
    </cfRule>
  </conditionalFormatting>
  <conditionalFormatting sqref="E253:E255">
    <cfRule type="cellIs" dxfId="181" priority="73" operator="equal">
      <formula>"Diferentes"</formula>
    </cfRule>
  </conditionalFormatting>
  <conditionalFormatting sqref="E257:E258">
    <cfRule type="cellIs" dxfId="180" priority="72" operator="equal">
      <formula>"Diferentes"</formula>
    </cfRule>
  </conditionalFormatting>
  <conditionalFormatting sqref="E320:E321">
    <cfRule type="cellIs" dxfId="179" priority="66" operator="equal">
      <formula>"Diferentes"</formula>
    </cfRule>
  </conditionalFormatting>
  <conditionalFormatting sqref="E290:E291">
    <cfRule type="cellIs" dxfId="178" priority="70" operator="equal">
      <formula>"Diferentes"</formula>
    </cfRule>
  </conditionalFormatting>
  <conditionalFormatting sqref="E284:E285">
    <cfRule type="cellIs" dxfId="177" priority="71" operator="equal">
      <formula>"Diferentes"</formula>
    </cfRule>
  </conditionalFormatting>
  <conditionalFormatting sqref="E296:E298">
    <cfRule type="cellIs" dxfId="176" priority="67" operator="equal">
      <formula>"Diferentes"</formula>
    </cfRule>
  </conditionalFormatting>
  <conditionalFormatting sqref="E287:E288">
    <cfRule type="cellIs" dxfId="175" priority="68" operator="equal">
      <formula>"Diferentes"</formula>
    </cfRule>
  </conditionalFormatting>
  <conditionalFormatting sqref="E299:E300">
    <cfRule type="cellIs" dxfId="174" priority="65" operator="equal">
      <formula>"Diferentes"</formula>
    </cfRule>
  </conditionalFormatting>
  <conditionalFormatting sqref="E324:E326">
    <cfRule type="cellIs" dxfId="173" priority="64" operator="equal">
      <formula>"Diferentes"</formula>
    </cfRule>
  </conditionalFormatting>
  <conditionalFormatting sqref="C305:C306">
    <cfRule type="cellIs" dxfId="172" priority="63" operator="equal">
      <formula>"Diferentes"</formula>
    </cfRule>
  </conditionalFormatting>
  <conditionalFormatting sqref="I305:I306">
    <cfRule type="cellIs" dxfId="171" priority="62" operator="equal">
      <formula>"Diferentes"</formula>
    </cfRule>
  </conditionalFormatting>
  <conditionalFormatting sqref="G305:G306">
    <cfRule type="cellIs" dxfId="170" priority="61" operator="equal">
      <formula>"Diferentes"</formula>
    </cfRule>
  </conditionalFormatting>
  <conditionalFormatting sqref="E305:E306">
    <cfRule type="cellIs" dxfId="169" priority="60" operator="equal">
      <formula>"Diferentes"</formula>
    </cfRule>
  </conditionalFormatting>
  <conditionalFormatting sqref="C302:C303">
    <cfRule type="cellIs" dxfId="168" priority="59" operator="equal">
      <formula>"Diferentes"</formula>
    </cfRule>
  </conditionalFormatting>
  <conditionalFormatting sqref="I302:I303">
    <cfRule type="cellIs" dxfId="167" priority="58" operator="equal">
      <formula>"Diferentes"</formula>
    </cfRule>
  </conditionalFormatting>
  <conditionalFormatting sqref="G302:G303">
    <cfRule type="cellIs" dxfId="166" priority="57" operator="equal">
      <formula>"Diferentes"</formula>
    </cfRule>
  </conditionalFormatting>
  <conditionalFormatting sqref="E302:E303">
    <cfRule type="cellIs" dxfId="165" priority="56" operator="equal">
      <formula>"Diferentes"</formula>
    </cfRule>
  </conditionalFormatting>
  <conditionalFormatting sqref="C308:C310 C313">
    <cfRule type="cellIs" dxfId="164" priority="55" operator="equal">
      <formula>"Diferentes"</formula>
    </cfRule>
  </conditionalFormatting>
  <conditionalFormatting sqref="I308:I310 I313">
    <cfRule type="cellIs" dxfId="163" priority="54" operator="equal">
      <formula>"Diferentes"</formula>
    </cfRule>
  </conditionalFormatting>
  <conditionalFormatting sqref="G308:G310 G313">
    <cfRule type="cellIs" dxfId="162" priority="53" operator="equal">
      <formula>"Diferentes"</formula>
    </cfRule>
  </conditionalFormatting>
  <conditionalFormatting sqref="E308:E310 E313">
    <cfRule type="cellIs" dxfId="161" priority="52" operator="equal">
      <formula>"Diferentes"</formula>
    </cfRule>
  </conditionalFormatting>
  <conditionalFormatting sqref="C311:C312">
    <cfRule type="cellIs" dxfId="160" priority="51" operator="equal">
      <formula>"Diferentes"</formula>
    </cfRule>
  </conditionalFormatting>
  <conditionalFormatting sqref="I311:I312">
    <cfRule type="cellIs" dxfId="159" priority="50" operator="equal">
      <formula>"Diferentes"</formula>
    </cfRule>
  </conditionalFormatting>
  <conditionalFormatting sqref="G311:G312">
    <cfRule type="cellIs" dxfId="158" priority="49" operator="equal">
      <formula>"Diferentes"</formula>
    </cfRule>
  </conditionalFormatting>
  <conditionalFormatting sqref="E311:E312">
    <cfRule type="cellIs" dxfId="157" priority="48" operator="equal">
      <formula>"Diferentes"</formula>
    </cfRule>
  </conditionalFormatting>
  <conditionalFormatting sqref="C260:C261">
    <cfRule type="cellIs" dxfId="156" priority="47" operator="equal">
      <formula>"Diferentes"</formula>
    </cfRule>
  </conditionalFormatting>
  <conditionalFormatting sqref="I260:I261">
    <cfRule type="cellIs" dxfId="155" priority="46" operator="equal">
      <formula>"Diferentes"</formula>
    </cfRule>
  </conditionalFormatting>
  <conditionalFormatting sqref="G260:G261">
    <cfRule type="cellIs" dxfId="154" priority="45" operator="equal">
      <formula>"Diferentes"</formula>
    </cfRule>
  </conditionalFormatting>
  <conditionalFormatting sqref="E260:E261">
    <cfRule type="cellIs" dxfId="153" priority="44" operator="equal">
      <formula>"Diferentes"</formula>
    </cfRule>
  </conditionalFormatting>
  <conditionalFormatting sqref="C263:C264">
    <cfRule type="cellIs" dxfId="152" priority="43" operator="equal">
      <formula>"Diferentes"</formula>
    </cfRule>
  </conditionalFormatting>
  <conditionalFormatting sqref="I263:I264">
    <cfRule type="cellIs" dxfId="151" priority="42" operator="equal">
      <formula>"Diferentes"</formula>
    </cfRule>
  </conditionalFormatting>
  <conditionalFormatting sqref="G263:G264">
    <cfRule type="cellIs" dxfId="150" priority="41" operator="equal">
      <formula>"Diferentes"</formula>
    </cfRule>
  </conditionalFormatting>
  <conditionalFormatting sqref="E263:E264">
    <cfRule type="cellIs" dxfId="149" priority="40" operator="equal">
      <formula>"Diferentes"</formula>
    </cfRule>
  </conditionalFormatting>
  <conditionalFormatting sqref="C266:C267">
    <cfRule type="cellIs" dxfId="148" priority="39" operator="equal">
      <formula>"Diferentes"</formula>
    </cfRule>
  </conditionalFormatting>
  <conditionalFormatting sqref="I266:I267">
    <cfRule type="cellIs" dxfId="147" priority="38" operator="equal">
      <formula>"Diferentes"</formula>
    </cfRule>
  </conditionalFormatting>
  <conditionalFormatting sqref="G266:G267">
    <cfRule type="cellIs" dxfId="146" priority="37" operator="equal">
      <formula>"Diferentes"</formula>
    </cfRule>
  </conditionalFormatting>
  <conditionalFormatting sqref="E266:E267">
    <cfRule type="cellIs" dxfId="145" priority="36" operator="equal">
      <formula>"Diferentes"</formula>
    </cfRule>
  </conditionalFormatting>
  <conditionalFormatting sqref="C269:C270">
    <cfRule type="cellIs" dxfId="144" priority="35" operator="equal">
      <formula>"Diferentes"</formula>
    </cfRule>
  </conditionalFormatting>
  <conditionalFormatting sqref="I269:I270">
    <cfRule type="cellIs" dxfId="143" priority="34" operator="equal">
      <formula>"Diferentes"</formula>
    </cfRule>
  </conditionalFormatting>
  <conditionalFormatting sqref="G269:G270">
    <cfRule type="cellIs" dxfId="142" priority="33" operator="equal">
      <formula>"Diferentes"</formula>
    </cfRule>
  </conditionalFormatting>
  <conditionalFormatting sqref="E269:E270">
    <cfRule type="cellIs" dxfId="141" priority="32" operator="equal">
      <formula>"Diferentes"</formula>
    </cfRule>
  </conditionalFormatting>
  <conditionalFormatting sqref="C272:C273">
    <cfRule type="cellIs" dxfId="140" priority="31" operator="equal">
      <formula>"Diferentes"</formula>
    </cfRule>
  </conditionalFormatting>
  <conditionalFormatting sqref="I272:I273">
    <cfRule type="cellIs" dxfId="139" priority="30" operator="equal">
      <formula>"Diferentes"</formula>
    </cfRule>
  </conditionalFormatting>
  <conditionalFormatting sqref="G272:G273">
    <cfRule type="cellIs" dxfId="138" priority="29" operator="equal">
      <formula>"Diferentes"</formula>
    </cfRule>
  </conditionalFormatting>
  <conditionalFormatting sqref="E272:E273">
    <cfRule type="cellIs" dxfId="137" priority="28" operator="equal">
      <formula>"Diferentes"</formula>
    </cfRule>
  </conditionalFormatting>
  <conditionalFormatting sqref="C275:C276">
    <cfRule type="cellIs" dxfId="136" priority="27" operator="equal">
      <formula>"Diferentes"</formula>
    </cfRule>
  </conditionalFormatting>
  <conditionalFormatting sqref="I275:I276">
    <cfRule type="cellIs" dxfId="135" priority="26" operator="equal">
      <formula>"Diferentes"</formula>
    </cfRule>
  </conditionalFormatting>
  <conditionalFormatting sqref="G275:G276">
    <cfRule type="cellIs" dxfId="134" priority="25" operator="equal">
      <formula>"Diferentes"</formula>
    </cfRule>
  </conditionalFormatting>
  <conditionalFormatting sqref="E275:E276">
    <cfRule type="cellIs" dxfId="133" priority="24" operator="equal">
      <formula>"Diferentes"</formula>
    </cfRule>
  </conditionalFormatting>
  <conditionalFormatting sqref="C278:C279">
    <cfRule type="cellIs" dxfId="132" priority="23" operator="equal">
      <formula>"Diferentes"</formula>
    </cfRule>
  </conditionalFormatting>
  <conditionalFormatting sqref="I278:I279">
    <cfRule type="cellIs" dxfId="131" priority="22" operator="equal">
      <formula>"Diferentes"</formula>
    </cfRule>
  </conditionalFormatting>
  <conditionalFormatting sqref="G278:G279">
    <cfRule type="cellIs" dxfId="130" priority="21" operator="equal">
      <formula>"Diferentes"</formula>
    </cfRule>
  </conditionalFormatting>
  <conditionalFormatting sqref="E278:E279">
    <cfRule type="cellIs" dxfId="129" priority="20" operator="equal">
      <formula>"Diferentes"</formula>
    </cfRule>
  </conditionalFormatting>
  <conditionalFormatting sqref="C314:C315">
    <cfRule type="cellIs" dxfId="128" priority="19" operator="equal">
      <formula>"Diferentes"</formula>
    </cfRule>
  </conditionalFormatting>
  <conditionalFormatting sqref="I314:I315">
    <cfRule type="cellIs" dxfId="127" priority="18" operator="equal">
      <formula>"Diferentes"</formula>
    </cfRule>
  </conditionalFormatting>
  <conditionalFormatting sqref="G314:G315">
    <cfRule type="cellIs" dxfId="126" priority="17" operator="equal">
      <formula>"Diferentes"</formula>
    </cfRule>
  </conditionalFormatting>
  <conditionalFormatting sqref="E314:E315">
    <cfRule type="cellIs" dxfId="125" priority="16" operator="equal">
      <formula>"Diferentes"</formula>
    </cfRule>
  </conditionalFormatting>
  <conditionalFormatting sqref="C317:C318">
    <cfRule type="cellIs" dxfId="124" priority="15" operator="equal">
      <formula>"Diferentes"</formula>
    </cfRule>
  </conditionalFormatting>
  <conditionalFormatting sqref="I317:I318">
    <cfRule type="cellIs" dxfId="123" priority="14" operator="equal">
      <formula>"Diferentes"</formula>
    </cfRule>
  </conditionalFormatting>
  <conditionalFormatting sqref="G317:G318">
    <cfRule type="cellIs" dxfId="122" priority="13" operator="equal">
      <formula>"Diferentes"</formula>
    </cfRule>
  </conditionalFormatting>
  <conditionalFormatting sqref="E317:E318">
    <cfRule type="cellIs" dxfId="121" priority="12" operator="equal">
      <formula>"Diferentes"</formula>
    </cfRule>
  </conditionalFormatting>
  <conditionalFormatting sqref="C281:C282">
    <cfRule type="cellIs" dxfId="120" priority="11" operator="equal">
      <formula>"Diferentes"</formula>
    </cfRule>
  </conditionalFormatting>
  <conditionalFormatting sqref="I281:I282">
    <cfRule type="cellIs" dxfId="119" priority="10" operator="equal">
      <formula>"Diferentes"</formula>
    </cfRule>
  </conditionalFormatting>
  <conditionalFormatting sqref="G281:G282">
    <cfRule type="cellIs" dxfId="118" priority="9" operator="equal">
      <formula>"Diferentes"</formula>
    </cfRule>
  </conditionalFormatting>
  <conditionalFormatting sqref="E281:E282">
    <cfRule type="cellIs" dxfId="117" priority="8" operator="equal">
      <formula>"Diferentes"</formula>
    </cfRule>
  </conditionalFormatting>
  <conditionalFormatting sqref="C157:C159">
    <cfRule type="cellIs" dxfId="116" priority="7" operator="equal">
      <formula>"Diferentes"</formula>
    </cfRule>
  </conditionalFormatting>
  <conditionalFormatting sqref="I157:I159">
    <cfRule type="cellIs" dxfId="115" priority="6" operator="equal">
      <formula>"Diferentes"</formula>
    </cfRule>
  </conditionalFormatting>
  <conditionalFormatting sqref="G157:G159">
    <cfRule type="cellIs" dxfId="114" priority="5" operator="equal">
      <formula>"Diferentes"</formula>
    </cfRule>
  </conditionalFormatting>
  <conditionalFormatting sqref="E157:E159">
    <cfRule type="cellIs" dxfId="113" priority="4" operator="equal">
      <formula>"Diferentes"</formula>
    </cfRule>
  </conditionalFormatting>
  <conditionalFormatting sqref="E119:E120">
    <cfRule type="cellIs" dxfId="112" priority="3" operator="equal">
      <formula>"Diferentes"</formula>
    </cfRule>
  </conditionalFormatting>
  <conditionalFormatting sqref="G119:G120">
    <cfRule type="cellIs" dxfId="111" priority="2" operator="equal">
      <formula>"Diferentes"</formula>
    </cfRule>
  </conditionalFormatting>
  <conditionalFormatting sqref="I119:I120">
    <cfRule type="cellIs" dxfId="110" priority="1" operator="equal">
      <formula>"Diferentes"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I58"/>
  <sheetViews>
    <sheetView zoomScale="80" zoomScaleNormal="80" workbookViewId="0">
      <pane ySplit="1" topLeftCell="A2" activePane="bottomLeft" state="frozen"/>
      <selection activeCell="B55" sqref="B55"/>
      <selection pane="bottomLeft" activeCell="A18" sqref="A18"/>
    </sheetView>
  </sheetViews>
  <sheetFormatPr defaultRowHeight="15" x14ac:dyDescent="0.25"/>
  <cols>
    <col min="1" max="1" width="40.28515625" customWidth="1"/>
    <col min="2" max="2" width="39.42578125" customWidth="1"/>
    <col min="3" max="3" width="16" customWidth="1"/>
    <col min="4" max="4" width="34.7109375" style="14" customWidth="1"/>
    <col min="5" max="5" width="16" customWidth="1"/>
    <col min="6" max="6" width="35.140625" customWidth="1"/>
    <col min="7" max="7" width="15.85546875" customWidth="1"/>
    <col min="8" max="8" width="34.85546875" customWidth="1"/>
    <col min="9" max="9" width="16.28515625" customWidth="1"/>
  </cols>
  <sheetData>
    <row r="1" spans="1:9" ht="19.5" thickBot="1" x14ac:dyDescent="0.3">
      <c r="A1" s="1" t="s">
        <v>0</v>
      </c>
      <c r="B1" s="2" t="s">
        <v>178</v>
      </c>
      <c r="C1" s="3" t="s">
        <v>1</v>
      </c>
      <c r="D1" s="2" t="s">
        <v>196</v>
      </c>
      <c r="E1" s="2" t="s">
        <v>1</v>
      </c>
      <c r="F1" s="2" t="s">
        <v>195</v>
      </c>
      <c r="G1" s="3" t="s">
        <v>1</v>
      </c>
      <c r="H1" s="2" t="s">
        <v>179</v>
      </c>
      <c r="I1" s="3" t="s">
        <v>1</v>
      </c>
    </row>
    <row r="2" spans="1:9" ht="18.75" x14ac:dyDescent="0.3">
      <c r="A2" s="4"/>
      <c r="B2" s="4"/>
      <c r="C2" s="4"/>
    </row>
    <row r="3" spans="1:9" ht="18.75" customHeight="1" x14ac:dyDescent="0.3">
      <c r="A3" s="4" t="s">
        <v>255</v>
      </c>
      <c r="B3" s="8" t="str">
        <f>BuscaFoneticaBR(A3)</f>
        <v>RAPESO</v>
      </c>
      <c r="C3" s="53" t="str">
        <f>IF(B3=B4,"Iguais","Diferentes")</f>
        <v>Iguais</v>
      </c>
      <c r="D3" s="15" t="str">
        <f>FonemaPT(A3,1)</f>
        <v>LPS</v>
      </c>
      <c r="E3" s="53" t="str">
        <f>IF(D3=D4,"Iguais","Diferentes")</f>
        <v>Iguais</v>
      </c>
      <c r="F3" s="8" t="str">
        <f>RSOUNDEX(A3)</f>
        <v>L12</v>
      </c>
      <c r="G3" s="53" t="str">
        <f>IF(F3=F4,"Iguais","Diferentes")</f>
        <v>Iguais</v>
      </c>
      <c r="H3" s="8" t="str">
        <f>FonemaPT(A3)</f>
        <v>LAPSO</v>
      </c>
      <c r="I3" s="53" t="str">
        <f>IF(H3=H4,"Iguais","Diferentes")</f>
        <v>Diferentes</v>
      </c>
    </row>
    <row r="4" spans="1:9" ht="18.75" customHeight="1" x14ac:dyDescent="0.3">
      <c r="A4" s="4" t="s">
        <v>256</v>
      </c>
      <c r="B4" s="8" t="str">
        <f>BuscaFoneticaBR(A4)</f>
        <v>RAPESO</v>
      </c>
      <c r="C4" s="53"/>
      <c r="D4" s="15" t="str">
        <f>FonemaPT(A4,1)</f>
        <v>LPS</v>
      </c>
      <c r="E4" s="53"/>
      <c r="F4" s="8" t="str">
        <f>RSOUNDEX(A4)</f>
        <v>L12</v>
      </c>
      <c r="G4" s="53"/>
      <c r="H4" s="8" t="str">
        <f>FonemaPT(A4)</f>
        <v>LAPISO</v>
      </c>
      <c r="I4" s="53"/>
    </row>
    <row r="5" spans="1:9" ht="18.75" x14ac:dyDescent="0.3">
      <c r="A5" s="4"/>
      <c r="B5" s="8"/>
      <c r="C5" s="4"/>
      <c r="D5" s="15"/>
      <c r="F5" s="8"/>
      <c r="H5" s="8"/>
    </row>
    <row r="6" spans="1:9" ht="18.75" customHeight="1" x14ac:dyDescent="0.3">
      <c r="A6" s="4" t="s">
        <v>257</v>
      </c>
      <c r="B6" s="8" t="str">
        <f>BuscaFoneticaBR(A6)</f>
        <v>PEMEO</v>
      </c>
      <c r="C6" s="53" t="str">
        <f>IF(B6=B7,"Iguais","Diferentes")</f>
        <v>Iguais</v>
      </c>
      <c r="D6" s="15" t="str">
        <f>FonemaPT(A6,1)</f>
        <v>PM</v>
      </c>
      <c r="E6" s="53" t="str">
        <f>IF(D6=D7,"Iguais","Diferentes")</f>
        <v>Iguais</v>
      </c>
      <c r="F6" s="8" t="str">
        <f>RSOUNDEX(A6)</f>
        <v>P5</v>
      </c>
      <c r="G6" s="53" t="str">
        <f>IF(F6=F7,"Iguais","Diferentes")</f>
        <v>Iguais</v>
      </c>
      <c r="H6" s="8" t="str">
        <f>FonemaPT(A6)</f>
        <v>PMEU</v>
      </c>
      <c r="I6" s="53" t="str">
        <f>IF(H6=H7,"Iguais","Diferentes")</f>
        <v>Diferentes</v>
      </c>
    </row>
    <row r="7" spans="1:9" ht="18.75" customHeight="1" x14ac:dyDescent="0.3">
      <c r="A7" s="4" t="s">
        <v>258</v>
      </c>
      <c r="B7" s="8" t="str">
        <f>BuscaFoneticaBR(A7)</f>
        <v>PEMEO</v>
      </c>
      <c r="C7" s="53"/>
      <c r="D7" s="15" t="str">
        <f>FonemaPT(A7,1)</f>
        <v>PM</v>
      </c>
      <c r="E7" s="53"/>
      <c r="F7" s="8" t="str">
        <f>RSOUNDEX(A7)</f>
        <v>P5</v>
      </c>
      <c r="G7" s="53"/>
      <c r="H7" s="8" t="str">
        <f>FonemaPT(A7)</f>
        <v>PEMEU</v>
      </c>
      <c r="I7" s="53"/>
    </row>
    <row r="8" spans="1:9" ht="18.75" x14ac:dyDescent="0.3">
      <c r="A8" s="4"/>
      <c r="B8" s="8"/>
      <c r="C8" s="4"/>
      <c r="D8" s="15"/>
      <c r="F8" s="8"/>
      <c r="H8" s="8"/>
    </row>
    <row r="9" spans="1:9" ht="18.75" customHeight="1" x14ac:dyDescent="0.3">
      <c r="A9" s="4" t="s">
        <v>259</v>
      </c>
      <c r="B9" s="8" t="str">
        <f>BuscaFoneticaBR(A9)</f>
        <v>ADEVOGADO</v>
      </c>
      <c r="C9" s="53" t="str">
        <f>IF(B9=B10,"Iguais","Diferentes")</f>
        <v>Iguais</v>
      </c>
      <c r="D9" s="15" t="str">
        <f>FonemaPT(A9,1)</f>
        <v>DVGD</v>
      </c>
      <c r="E9" s="53" t="str">
        <f>IF(D9=D10,"Iguais","Diferentes")</f>
        <v>Iguais</v>
      </c>
      <c r="F9" s="8" t="str">
        <f>RSOUNDEX(A9)</f>
        <v>A312</v>
      </c>
      <c r="G9" s="53" t="str">
        <f>IF(F9=F10,"Iguais","Diferentes")</f>
        <v>Iguais</v>
      </c>
      <c r="H9" s="8" t="str">
        <f>FonemaPT(A9)</f>
        <v>ADVOGADO</v>
      </c>
      <c r="I9" s="53" t="str">
        <f>IF(H9=H10,"Iguais","Diferentes")</f>
        <v>Diferentes</v>
      </c>
    </row>
    <row r="10" spans="1:9" ht="18.75" customHeight="1" x14ac:dyDescent="0.3">
      <c r="A10" s="4" t="s">
        <v>260</v>
      </c>
      <c r="B10" s="8" t="str">
        <f>BuscaFoneticaBR(A10)</f>
        <v>ADEVOGADO</v>
      </c>
      <c r="C10" s="53"/>
      <c r="D10" s="15" t="str">
        <f>FonemaPT(A10,1)</f>
        <v>DVGD</v>
      </c>
      <c r="E10" s="53"/>
      <c r="F10" s="8" t="str">
        <f>RSOUNDEX(A10)</f>
        <v>A312</v>
      </c>
      <c r="G10" s="53"/>
      <c r="H10" s="8" t="str">
        <f>FonemaPT(A10)</f>
        <v>ADEVOGADO</v>
      </c>
      <c r="I10" s="53"/>
    </row>
    <row r="11" spans="1:9" ht="18.75" x14ac:dyDescent="0.3">
      <c r="A11" s="4"/>
      <c r="B11" s="8"/>
      <c r="C11" s="4"/>
      <c r="D11" s="15"/>
      <c r="F11" s="8"/>
      <c r="H11" s="8"/>
    </row>
    <row r="12" spans="1:9" ht="18.75" customHeight="1" x14ac:dyDescent="0.3">
      <c r="A12" s="4" t="s">
        <v>261</v>
      </c>
      <c r="B12" s="8" t="str">
        <f>BuscaFoneticaBR(A12)</f>
        <v>EMAPETO</v>
      </c>
      <c r="C12" s="53" t="str">
        <f>IF(B12=B13,"Iguais","Diferentes")</f>
        <v>Iguais</v>
      </c>
      <c r="D12" s="15" t="str">
        <f>FonemaPT(A12,1)</f>
        <v>MPT</v>
      </c>
      <c r="E12" s="53" t="str">
        <f>IF(D12=D13,"Iguais","Diferentes")</f>
        <v>Iguais</v>
      </c>
      <c r="F12" s="8" t="str">
        <f>RSOUNDEX(A12)</f>
        <v>I513</v>
      </c>
      <c r="G12" s="53" t="str">
        <f>IF(F12=F13,"Iguais","Diferentes")</f>
        <v>Iguais</v>
      </c>
      <c r="H12" s="8" t="str">
        <f>FonemaPT(A12)</f>
        <v>IMAPTO</v>
      </c>
      <c r="I12" s="53" t="str">
        <f>IF(H12=H13,"Iguais","Diferentes")</f>
        <v>Diferentes</v>
      </c>
    </row>
    <row r="13" spans="1:9" ht="18.75" customHeight="1" x14ac:dyDescent="0.3">
      <c r="A13" s="4" t="s">
        <v>262</v>
      </c>
      <c r="B13" s="8" t="str">
        <f>BuscaFoneticaBR(A13)</f>
        <v>EMAPETO</v>
      </c>
      <c r="C13" s="53"/>
      <c r="D13" s="15" t="str">
        <f>FonemaPT(A13,1)</f>
        <v>MPT</v>
      </c>
      <c r="E13" s="53"/>
      <c r="F13" s="8" t="str">
        <f>RSOUNDEX(A13)</f>
        <v>I513</v>
      </c>
      <c r="G13" s="53"/>
      <c r="H13" s="8" t="str">
        <f>FonemaPT(A13)</f>
        <v>IMAPITU</v>
      </c>
      <c r="I13" s="53"/>
    </row>
    <row r="14" spans="1:9" ht="18.75" x14ac:dyDescent="0.3">
      <c r="A14" s="4"/>
      <c r="B14" s="8"/>
      <c r="C14" s="4"/>
      <c r="D14" s="15"/>
      <c r="F14" s="8"/>
      <c r="H14" s="8"/>
    </row>
    <row r="15" spans="1:9" ht="18.75" customHeight="1" x14ac:dyDescent="0.3">
      <c r="A15" s="4" t="s">
        <v>263</v>
      </c>
      <c r="B15" s="8" t="str">
        <f>BuscaFoneticaBR(A15)</f>
        <v>EOKAREPETO</v>
      </c>
      <c r="C15" s="53" t="str">
        <f>IF(B15=B16,"Iguais","Diferentes")</f>
        <v>Iguais</v>
      </c>
      <c r="D15" s="15" t="str">
        <f>FonemaPT(A15,1)</f>
        <v>KLPT</v>
      </c>
      <c r="E15" s="53" t="str">
        <f>IF(D15=D16,"Iguais","Diferentes")</f>
        <v>Diferentes</v>
      </c>
      <c r="F15" s="8" t="str">
        <f>RSOUNDEX(A15)</f>
        <v>E241</v>
      </c>
      <c r="G15" s="53" t="str">
        <f>IF(F15=F16,"Iguais","Diferentes")</f>
        <v>Diferentes</v>
      </c>
      <c r="H15" s="8" t="str">
        <f>FonemaPT(A15)</f>
        <v>EUKLIPTO</v>
      </c>
      <c r="I15" s="53" t="str">
        <f>IF(H15=H16,"Iguais","Diferentes")</f>
        <v>Diferentes</v>
      </c>
    </row>
    <row r="16" spans="1:9" ht="18.75" customHeight="1" x14ac:dyDescent="0.3">
      <c r="A16" s="4" t="s">
        <v>264</v>
      </c>
      <c r="B16" s="8" t="str">
        <f>BuscaFoneticaBR(A16)</f>
        <v>EOKAREPETO</v>
      </c>
      <c r="C16" s="53"/>
      <c r="D16" s="15" t="str">
        <f>FonemaPT(A16,1)</f>
        <v>LKLPT</v>
      </c>
      <c r="E16" s="53"/>
      <c r="F16" s="8" t="str">
        <f>RSOUNDEX(A16)</f>
        <v>E424</v>
      </c>
      <c r="G16" s="53"/>
      <c r="H16" s="8" t="str">
        <f>FonemaPT(A16)</f>
        <v>ELKLIPITU</v>
      </c>
      <c r="I16" s="53"/>
    </row>
    <row r="17" spans="1:9" ht="18.75" x14ac:dyDescent="0.3">
      <c r="A17" s="4"/>
      <c r="B17" s="8"/>
      <c r="C17" s="4"/>
      <c r="D17" s="15"/>
      <c r="F17" s="8"/>
      <c r="H17" s="8"/>
    </row>
    <row r="18" spans="1:9" ht="18.75" customHeight="1" x14ac:dyDescent="0.3">
      <c r="A18" s="4" t="s">
        <v>265</v>
      </c>
      <c r="B18" s="8" t="str">
        <f>BuscaFoneticaBR(A18)</f>
        <v>AOMOSO</v>
      </c>
      <c r="C18" s="53" t="str">
        <f>IF(B18=B19,"Iguais","Diferentes")</f>
        <v>Iguais</v>
      </c>
      <c r="D18" s="15" t="str">
        <f>FonemaPT(A18,1)</f>
        <v>LMS</v>
      </c>
      <c r="E18" s="53" t="str">
        <f>IF(D18=D19,"Iguais","Diferentes")</f>
        <v>Diferentes</v>
      </c>
      <c r="F18" s="8" t="str">
        <f>RSOUNDEX(A18)</f>
        <v>A45</v>
      </c>
      <c r="G18" s="53" t="str">
        <f>IF(F18=F19,"Iguais","Diferentes")</f>
        <v>Diferentes</v>
      </c>
      <c r="H18" s="8" t="str">
        <f>FonemaPT(A18)</f>
        <v>ALMOSO</v>
      </c>
      <c r="I18" s="53" t="str">
        <f>IF(H18=H19,"Iguais","Diferentes")</f>
        <v>Diferentes</v>
      </c>
    </row>
    <row r="19" spans="1:9" ht="18.75" customHeight="1" x14ac:dyDescent="0.3">
      <c r="A19" s="4" t="s">
        <v>266</v>
      </c>
      <c r="B19" s="8" t="str">
        <f>BuscaFoneticaBR(A19)</f>
        <v>AOMOSO</v>
      </c>
      <c r="C19" s="53"/>
      <c r="D19" s="15" t="str">
        <f>FonemaPT(A19,1)</f>
        <v>MS</v>
      </c>
      <c r="E19" s="53"/>
      <c r="F19" s="8" t="str">
        <f>RSOUNDEX(A19)</f>
        <v>A52</v>
      </c>
      <c r="G19" s="53"/>
      <c r="H19" s="8" t="str">
        <f>FonemaPT(A19)</f>
        <v>AUMOSO</v>
      </c>
      <c r="I19" s="53"/>
    </row>
    <row r="20" spans="1:9" ht="18.75" x14ac:dyDescent="0.3">
      <c r="A20" s="4"/>
      <c r="B20" s="8"/>
      <c r="C20" s="4"/>
      <c r="D20" s="15"/>
      <c r="F20" s="8"/>
      <c r="H20" s="8"/>
    </row>
    <row r="21" spans="1:9" ht="18.75" customHeight="1" x14ac:dyDescent="0.3">
      <c r="A21" s="4" t="s">
        <v>267</v>
      </c>
      <c r="B21" s="8" t="str">
        <f>BuscaFoneticaBR(A21)</f>
        <v>KOTORA</v>
      </c>
      <c r="C21" s="53" t="str">
        <f>IF(B21=B22,"Iguais","Diferentes")</f>
        <v>Iguais</v>
      </c>
      <c r="D21" s="15" t="str">
        <f>FonemaPT(A21,1)</f>
        <v>KTL</v>
      </c>
      <c r="E21" s="53" t="str">
        <f>IF(D21=D22,"Iguais","Diferentes")</f>
        <v>Iguais</v>
      </c>
      <c r="F21" s="8" t="str">
        <f>RSOUNDEX(A21)</f>
        <v>C436</v>
      </c>
      <c r="G21" s="53" t="str">
        <f>IF(F21=F22,"Iguais","Diferentes")</f>
        <v>Diferentes</v>
      </c>
      <c r="H21" s="8" t="str">
        <f>FonemaPT(A21)</f>
        <v>KTULA</v>
      </c>
      <c r="I21" s="53" t="str">
        <f>IF(H21=H22,"Iguais","Diferentes")</f>
        <v>Iguais</v>
      </c>
    </row>
    <row r="22" spans="1:9" ht="18.75" customHeight="1" x14ac:dyDescent="0.3">
      <c r="A22" s="4" t="s">
        <v>268</v>
      </c>
      <c r="B22" s="8" t="str">
        <f>BuscaFoneticaBR(A22)</f>
        <v>KOTORA</v>
      </c>
      <c r="C22" s="53"/>
      <c r="D22" s="15" t="str">
        <f>FonemaPT(A22,1)</f>
        <v>KTL</v>
      </c>
      <c r="E22" s="53"/>
      <c r="F22" s="8" t="str">
        <f>RSOUNDEX(A22)</f>
        <v>C36</v>
      </c>
      <c r="G22" s="53"/>
      <c r="H22" s="8" t="str">
        <f>FonemaPT(A22)</f>
        <v>KTULA</v>
      </c>
      <c r="I22" s="53"/>
    </row>
    <row r="23" spans="1:9" ht="18.75" x14ac:dyDescent="0.3">
      <c r="A23" s="4"/>
      <c r="B23" s="8"/>
      <c r="C23" s="4"/>
      <c r="D23" s="15"/>
      <c r="F23" s="8"/>
      <c r="H23" s="8"/>
    </row>
    <row r="24" spans="1:9" ht="18.75" customHeight="1" x14ac:dyDescent="0.3">
      <c r="A24" s="4" t="s">
        <v>269</v>
      </c>
      <c r="B24" s="8" t="str">
        <f>BuscaFoneticaBR(A24)</f>
        <v>ABEDO</v>
      </c>
      <c r="C24" s="53" t="str">
        <f>IF(B24=B25,"Iguais","Diferentes")</f>
        <v>Iguais</v>
      </c>
      <c r="D24" s="15" t="str">
        <f>FonemaPT(A24,1)</f>
        <v>BD</v>
      </c>
      <c r="E24" s="53" t="str">
        <f>IF(D24=D25,"Iguais","Diferentes")</f>
        <v>Iguais</v>
      </c>
      <c r="F24" s="8" t="str">
        <f>RSOUNDEX(A24)</f>
        <v>A134</v>
      </c>
      <c r="G24" s="53" t="str">
        <f>IF(F24=F25,"Iguais","Diferentes")</f>
        <v>Diferentes</v>
      </c>
      <c r="H24" s="8" t="str">
        <f>FonemaPT(A24)</f>
        <v>ABDU</v>
      </c>
      <c r="I24" s="53" t="str">
        <f>IF(H24=H25,"Iguais","Diferentes")</f>
        <v>Iguais</v>
      </c>
    </row>
    <row r="25" spans="1:9" ht="18.75" customHeight="1" x14ac:dyDescent="0.3">
      <c r="A25" s="4" t="s">
        <v>270</v>
      </c>
      <c r="B25" s="8" t="str">
        <f>BuscaFoneticaBR(A25)</f>
        <v>ABEDO</v>
      </c>
      <c r="C25" s="53"/>
      <c r="D25" s="15" t="str">
        <f>FonemaPT(A25,1)</f>
        <v>BD</v>
      </c>
      <c r="E25" s="53"/>
      <c r="F25" s="8" t="str">
        <f>RSOUNDEX(A25)</f>
        <v>A13</v>
      </c>
      <c r="G25" s="53"/>
      <c r="H25" s="8" t="str">
        <f>FonemaPT(A25)</f>
        <v>ABDU</v>
      </c>
      <c r="I25" s="53"/>
    </row>
    <row r="26" spans="1:9" ht="18.75" x14ac:dyDescent="0.3">
      <c r="A26" s="4"/>
      <c r="B26" s="8"/>
      <c r="C26" s="4"/>
      <c r="D26" s="15"/>
      <c r="F26" s="8"/>
      <c r="H26" s="8"/>
    </row>
    <row r="27" spans="1:9" ht="18.75" customHeight="1" x14ac:dyDescent="0.3">
      <c r="A27" s="4" t="s">
        <v>271</v>
      </c>
      <c r="B27" s="8" t="str">
        <f>BuscaFoneticaBR(A27)</f>
        <v>ETABO</v>
      </c>
      <c r="C27" s="53" t="str">
        <f>IF(B27=B28,"Iguais","Diferentes")</f>
        <v>Iguais</v>
      </c>
      <c r="D27" s="15" t="str">
        <f>FonemaPT(A27,1)</f>
        <v>TMB</v>
      </c>
      <c r="E27" s="53" t="str">
        <f>IF(D27=D28,"Iguais","Diferentes")</f>
        <v>Iguais</v>
      </c>
      <c r="F27" s="8" t="str">
        <f>RSOUNDEX(A27)</f>
        <v>E235</v>
      </c>
      <c r="G27" s="53" t="str">
        <f>IF(F27=F28,"Iguais","Diferentes")</f>
        <v>Diferentes</v>
      </c>
      <c r="H27" s="8" t="str">
        <f>FonemaPT(A27)</f>
        <v>ETAMBU</v>
      </c>
      <c r="I27" s="53" t="str">
        <f>IF(H27=H28,"Iguais","Diferentes")</f>
        <v>Diferentes</v>
      </c>
    </row>
    <row r="28" spans="1:9" ht="18.75" customHeight="1" x14ac:dyDescent="0.3">
      <c r="A28" s="4" t="s">
        <v>272</v>
      </c>
      <c r="B28" s="8" t="str">
        <f>BuscaFoneticaBR(A28)</f>
        <v>ETABO</v>
      </c>
      <c r="C28" s="53"/>
      <c r="D28" s="15" t="str">
        <f>FonemaPT(A28,1)</f>
        <v>TMB</v>
      </c>
      <c r="E28" s="53"/>
      <c r="F28" s="8" t="str">
        <f>RSOUNDEX(A28)</f>
        <v>I235</v>
      </c>
      <c r="G28" s="53"/>
      <c r="H28" s="8" t="str">
        <f>FonemaPT(A28)</f>
        <v>ITAMBU</v>
      </c>
      <c r="I28" s="53"/>
    </row>
    <row r="29" spans="1:9" ht="18.75" x14ac:dyDescent="0.3">
      <c r="A29" s="4"/>
      <c r="B29" s="8"/>
      <c r="C29" s="4"/>
      <c r="D29" s="15"/>
      <c r="F29" s="8"/>
      <c r="H29" s="8"/>
    </row>
    <row r="30" spans="1:9" ht="18.75" customHeight="1" x14ac:dyDescent="0.3">
      <c r="A30" s="4" t="s">
        <v>273</v>
      </c>
      <c r="B30" s="8" t="str">
        <f>BuscaFoneticaBR(A30)</f>
        <v>JEMOMO</v>
      </c>
      <c r="C30" s="53" t="str">
        <f>IF(B30=B31,"Iguais","Diferentes")</f>
        <v>Iguais</v>
      </c>
      <c r="D30" s="15" t="str">
        <f>FonemaPT(A30,1)</f>
        <v>M</v>
      </c>
      <c r="E30" s="53" t="str">
        <f>IF(D30=D31,"Iguais","Diferentes")</f>
        <v>Diferentes</v>
      </c>
      <c r="F30" s="8" t="str">
        <f>RSOUNDEX(A30)</f>
        <v>G55</v>
      </c>
      <c r="G30" s="53" t="str">
        <f>IF(F30=F31,"Iguais","Diferentes")</f>
        <v>Iguais</v>
      </c>
      <c r="H30" s="8" t="str">
        <f>FonemaPT(A30)</f>
        <v>MOMO</v>
      </c>
      <c r="I30" s="53" t="str">
        <f>IF(H30=H31,"Iguais","Diferentes")</f>
        <v>Diferentes</v>
      </c>
    </row>
    <row r="31" spans="1:9" ht="18.75" customHeight="1" x14ac:dyDescent="0.3">
      <c r="A31" s="4" t="s">
        <v>274</v>
      </c>
      <c r="B31" s="8" t="str">
        <f>BuscaFoneticaBR(A31)</f>
        <v>JEMOMO</v>
      </c>
      <c r="C31" s="53"/>
      <c r="D31" s="15" t="str">
        <f>FonemaPT(A31,1)</f>
        <v>GM</v>
      </c>
      <c r="E31" s="53"/>
      <c r="F31" s="8" t="str">
        <f>RSOUNDEX(A31)</f>
        <v>G55</v>
      </c>
      <c r="G31" s="53"/>
      <c r="H31" s="8" t="str">
        <f>FonemaPT(A31)</f>
        <v>GUIMOMO</v>
      </c>
      <c r="I31" s="53"/>
    </row>
    <row r="32" spans="1:9" ht="18.75" x14ac:dyDescent="0.3">
      <c r="A32" s="4"/>
      <c r="B32" s="8"/>
      <c r="C32" s="4"/>
      <c r="D32" s="15"/>
      <c r="F32" s="8"/>
      <c r="H32" s="8"/>
    </row>
    <row r="33" spans="1:9" ht="18.75" customHeight="1" x14ac:dyDescent="0.3">
      <c r="A33" s="4" t="s">
        <v>275</v>
      </c>
      <c r="B33" s="8" t="str">
        <f>BuscaFoneticaBR(A33)</f>
        <v>ATO</v>
      </c>
      <c r="C33" s="53" t="str">
        <f>IF(B33=B34,"Iguais","Diferentes")</f>
        <v>Iguais</v>
      </c>
      <c r="D33" s="15" t="str">
        <f>FonemaPT(A33,1)</f>
        <v>T</v>
      </c>
      <c r="E33" s="53" t="str">
        <f>IF(D33=D34,"Iguais","Diferentes")</f>
        <v>Iguais</v>
      </c>
      <c r="F33" s="8" t="str">
        <f>RSOUNDEX(A33)</f>
        <v>A236</v>
      </c>
      <c r="G33" s="53" t="str">
        <f>IF(F33=F34,"Iguais","Diferentes")</f>
        <v>Diferentes</v>
      </c>
      <c r="H33" s="8" t="str">
        <f>FonemaPT(A33)</f>
        <v>ATO</v>
      </c>
      <c r="I33" s="53" t="str">
        <f>IF(H33=H34,"Iguais","Diferentes")</f>
        <v>Iguais</v>
      </c>
    </row>
    <row r="34" spans="1:9" ht="18.75" customHeight="1" x14ac:dyDescent="0.3">
      <c r="A34" s="4" t="s">
        <v>276</v>
      </c>
      <c r="B34" s="8" t="str">
        <f>BuscaFoneticaBR(A34)</f>
        <v>ATO</v>
      </c>
      <c r="C34" s="53"/>
      <c r="D34" s="15" t="str">
        <f>FonemaPT(A34,1)</f>
        <v>T</v>
      </c>
      <c r="E34" s="53"/>
      <c r="F34" s="8" t="str">
        <f>RSOUNDEX(A34)</f>
        <v>A36</v>
      </c>
      <c r="G34" s="53"/>
      <c r="H34" s="8" t="str">
        <f>FonemaPT(A34)</f>
        <v>ATO</v>
      </c>
      <c r="I34" s="53"/>
    </row>
    <row r="35" spans="1:9" ht="18.75" x14ac:dyDescent="0.3">
      <c r="A35" s="4"/>
      <c r="B35" s="8"/>
      <c r="C35" s="4"/>
      <c r="D35" s="15"/>
      <c r="F35" s="8"/>
      <c r="H35" s="8"/>
    </row>
    <row r="36" spans="1:9" ht="18.75" customHeight="1" x14ac:dyDescent="0.3">
      <c r="A36" s="4" t="s">
        <v>277</v>
      </c>
      <c r="B36" s="8" t="str">
        <f>BuscaFoneticaBR(A36)</f>
        <v>SERESA</v>
      </c>
      <c r="C36" s="53" t="str">
        <f>IF(B36=B37,"Iguais","Diferentes")</f>
        <v>Iguais</v>
      </c>
      <c r="D36" s="15" t="str">
        <f>FonemaPT(A36,1)</f>
        <v>SLCS</v>
      </c>
      <c r="E36" s="53" t="str">
        <f>IF(D36=D37,"Iguais","Diferentes")</f>
        <v>Diferentes</v>
      </c>
      <c r="F36" s="8" t="str">
        <f>RSOUNDEX(A36)</f>
        <v>S42</v>
      </c>
      <c r="G36" s="53" t="str">
        <f>IF(F36=F37,"Iguais","Diferentes")</f>
        <v>Iguais</v>
      </c>
      <c r="H36" s="8" t="str">
        <f>FonemaPT(A36)</f>
        <v>SELECS</v>
      </c>
      <c r="I36" s="53" t="str">
        <f>IF(H36=H37,"Iguais","Diferentes")</f>
        <v>Diferentes</v>
      </c>
    </row>
    <row r="37" spans="1:9" ht="18.75" customHeight="1" x14ac:dyDescent="0.3">
      <c r="A37" s="4" t="s">
        <v>278</v>
      </c>
      <c r="B37" s="8" t="str">
        <f>BuscaFoneticaBR(A37)</f>
        <v>SERESA</v>
      </c>
      <c r="C37" s="53"/>
      <c r="D37" s="15" t="str">
        <f>FonemaPT(A37,1)</f>
        <v>SLS</v>
      </c>
      <c r="E37" s="53"/>
      <c r="F37" s="8" t="str">
        <f>RSOUNDEX(A37)</f>
        <v>S42</v>
      </c>
      <c r="G37" s="53"/>
      <c r="H37" s="8" t="str">
        <f>FonemaPT(A37)</f>
        <v>SELES</v>
      </c>
      <c r="I37" s="53"/>
    </row>
    <row r="38" spans="1:9" ht="18.75" x14ac:dyDescent="0.3">
      <c r="A38" s="4"/>
      <c r="B38" s="8"/>
      <c r="C38" s="4"/>
      <c r="D38" s="15"/>
      <c r="F38" s="8"/>
      <c r="H38" s="8"/>
    </row>
    <row r="39" spans="1:9" ht="18.75" customHeight="1" x14ac:dyDescent="0.3">
      <c r="A39" s="4" t="s">
        <v>279</v>
      </c>
      <c r="B39" s="8" t="str">
        <f>BuscaFoneticaBR(A39)</f>
        <v>PESEMA</v>
      </c>
      <c r="C39" s="53" t="str">
        <f>IF(B39=B40,"Iguais","Diferentes")</f>
        <v>Iguais</v>
      </c>
      <c r="D39" s="15" t="str">
        <f>FonemaPT(A39,1)</f>
        <v>PSM</v>
      </c>
      <c r="E39" s="53" t="str">
        <f>IF(D39=D40,"Iguais","Diferentes")</f>
        <v>Iguais</v>
      </c>
      <c r="F39" s="8" t="str">
        <f>RSOUNDEX(A39)</f>
        <v>P25</v>
      </c>
      <c r="G39" s="53" t="str">
        <f>IF(F39=F40,"Iguais","Diferentes")</f>
        <v>Iguais</v>
      </c>
      <c r="H39" s="8" t="str">
        <f>FonemaPT(A39)</f>
        <v>PISIMA</v>
      </c>
      <c r="I39" s="53" t="str">
        <f>IF(H39=H40,"Iguais","Diferentes")</f>
        <v>Iguais</v>
      </c>
    </row>
    <row r="40" spans="1:9" ht="18.75" customHeight="1" x14ac:dyDescent="0.3">
      <c r="A40" s="4" t="s">
        <v>280</v>
      </c>
      <c r="B40" s="8" t="str">
        <f>BuscaFoneticaBR(A40)</f>
        <v>PESEMA</v>
      </c>
      <c r="C40" s="53"/>
      <c r="D40" s="15" t="str">
        <f>FonemaPT(A40,1)</f>
        <v>PSM</v>
      </c>
      <c r="E40" s="53"/>
      <c r="F40" s="8" t="str">
        <f>RSOUNDEX(A40)</f>
        <v>P25</v>
      </c>
      <c r="G40" s="53"/>
      <c r="H40" s="8" t="str">
        <f>FonemaPT(A40)</f>
        <v>PISIMA</v>
      </c>
      <c r="I40" s="53"/>
    </row>
    <row r="41" spans="1:9" ht="18.75" x14ac:dyDescent="0.3">
      <c r="A41" s="4"/>
      <c r="B41" s="8"/>
      <c r="C41" s="4"/>
      <c r="D41" s="15"/>
      <c r="F41" s="8"/>
      <c r="H41" s="8"/>
    </row>
    <row r="42" spans="1:9" ht="18.75" customHeight="1" x14ac:dyDescent="0.3">
      <c r="A42" s="4" t="s">
        <v>281</v>
      </c>
      <c r="B42" s="8" t="str">
        <f>BuscaFoneticaBR(A42)</f>
        <v>SESEMETO</v>
      </c>
      <c r="C42" s="53" t="str">
        <f>IF(B42=B43,"Iguais","Diferentes")</f>
        <v>Iguais</v>
      </c>
      <c r="D42" s="15" t="str">
        <f>FonemaPT(A42,1)</f>
        <v>CLSMT</v>
      </c>
      <c r="E42" s="53" t="str">
        <f>IF(D42=D43,"Iguais","Diferentes")</f>
        <v>Iguais</v>
      </c>
      <c r="F42" s="8" t="str">
        <f>RSOUNDEX(A42)</f>
        <v>C625</v>
      </c>
      <c r="G42" s="53" t="str">
        <f>IF(F42=F43,"Iguais","Diferentes")</f>
        <v>Iguais</v>
      </c>
      <c r="H42" s="8" t="str">
        <f>FonemaPT(A42)</f>
        <v>CLESIMEMTO</v>
      </c>
      <c r="I42" s="53" t="str">
        <f>IF(H42=H43,"Iguais","Diferentes")</f>
        <v>Iguais</v>
      </c>
    </row>
    <row r="43" spans="1:9" ht="18.75" customHeight="1" x14ac:dyDescent="0.3">
      <c r="A43" s="4" t="s">
        <v>282</v>
      </c>
      <c r="B43" s="8" t="str">
        <f>BuscaFoneticaBR(A43)</f>
        <v>SESEMETO</v>
      </c>
      <c r="C43" s="53"/>
      <c r="D43" s="15" t="str">
        <f>FonemaPT(A43,1)</f>
        <v>CLSMT</v>
      </c>
      <c r="E43" s="53"/>
      <c r="F43" s="8" t="str">
        <f>RSOUNDEX(A43)</f>
        <v>C625</v>
      </c>
      <c r="G43" s="53"/>
      <c r="H43" s="8" t="str">
        <f>FonemaPT(A43)</f>
        <v>CLESIMEMTO</v>
      </c>
      <c r="I43" s="53"/>
    </row>
    <row r="44" spans="1:9" ht="18.75" customHeight="1" x14ac:dyDescent="0.3">
      <c r="A44" s="4"/>
      <c r="B44" s="8"/>
      <c r="C44" s="5"/>
      <c r="D44" s="15"/>
      <c r="E44" s="5"/>
      <c r="F44" s="8"/>
      <c r="G44" s="5"/>
      <c r="H44" s="8"/>
      <c r="I44" s="5"/>
    </row>
    <row r="45" spans="1:9" ht="18.75" customHeight="1" x14ac:dyDescent="0.3">
      <c r="A45" s="4" t="s">
        <v>289</v>
      </c>
      <c r="B45" s="8" t="str">
        <f>BuscaFoneticaBR(A45)</f>
        <v>EFE</v>
      </c>
      <c r="C45" s="53" t="str">
        <f>IF(B45=B46,"Iguais","Diferentes")</f>
        <v>Iguais</v>
      </c>
      <c r="D45" s="15" t="str">
        <f>FonemaPT(A45,1)</f>
        <v>F</v>
      </c>
      <c r="E45" s="53" t="str">
        <f>IF(D45=D46,"Iguais","Diferentes")</f>
        <v>Iguais</v>
      </c>
      <c r="F45" s="8" t="str">
        <f>RSOUNDEX(A45)</f>
        <v>H15</v>
      </c>
      <c r="G45" s="53" t="str">
        <f>IF(F45=F46,"Iguais","Diferentes")</f>
        <v>Iguais</v>
      </c>
      <c r="H45" s="8" t="str">
        <f>FonemaPT(A45)</f>
        <v>HIFE</v>
      </c>
      <c r="I45" s="53" t="str">
        <f>IF(H45=H46,"Iguais","Diferentes")</f>
        <v>Iguais</v>
      </c>
    </row>
    <row r="46" spans="1:9" ht="18.75" customHeight="1" x14ac:dyDescent="0.3">
      <c r="A46" s="4" t="s">
        <v>288</v>
      </c>
      <c r="B46" s="8" t="str">
        <f>BuscaFoneticaBR(A46)</f>
        <v>EFE</v>
      </c>
      <c r="C46" s="53"/>
      <c r="D46" s="15" t="str">
        <f>FonemaPT(A46,1)</f>
        <v>F</v>
      </c>
      <c r="E46" s="53"/>
      <c r="F46" s="8" t="str">
        <f>RSOUNDEX(A46)</f>
        <v>H15</v>
      </c>
      <c r="G46" s="53"/>
      <c r="H46" s="8" t="str">
        <f>FonemaPT(A46)</f>
        <v>HIFE</v>
      </c>
      <c r="I46" s="53"/>
    </row>
    <row r="47" spans="1:9" ht="18.75" customHeight="1" x14ac:dyDescent="0.3">
      <c r="A47" s="4"/>
      <c r="B47" s="8"/>
      <c r="C47" s="5"/>
      <c r="D47" s="15"/>
      <c r="E47" s="5"/>
      <c r="F47" s="8"/>
      <c r="G47" s="5"/>
      <c r="H47" s="8"/>
      <c r="I47" s="5"/>
    </row>
    <row r="48" spans="1:9" ht="18.75" customHeight="1" x14ac:dyDescent="0.3">
      <c r="A48" s="4" t="s">
        <v>290</v>
      </c>
      <c r="B48" s="8" t="str">
        <f>BuscaFoneticaBR(A48)</f>
        <v>EKATADO</v>
      </c>
      <c r="C48" s="53" t="str">
        <f>IF(B48=B49,"Iguais","Diferentes")</f>
        <v>Iguais</v>
      </c>
      <c r="D48" s="15" t="str">
        <f>FonemaPT(A48,1)</f>
        <v>MKMTD</v>
      </c>
      <c r="E48" s="53" t="str">
        <f>IF(D48=D49,"Iguais","Diferentes")</f>
        <v>Iguais</v>
      </c>
      <c r="F48" s="8" t="str">
        <f>RSOUNDEX(A48)</f>
        <v>E525</v>
      </c>
      <c r="G48" s="53" t="str">
        <f>IF(F48=F49,"Iguais","Diferentes")</f>
        <v>Iguais</v>
      </c>
      <c r="H48" s="8" t="str">
        <f>FonemaPT(A48)</f>
        <v>EMKMTADO</v>
      </c>
      <c r="I48" s="53" t="str">
        <f>IF(H48=H49,"Iguais","Diferentes")</f>
        <v>Iguais</v>
      </c>
    </row>
    <row r="49" spans="1:9" ht="18.75" customHeight="1" x14ac:dyDescent="0.3">
      <c r="A49" s="4" t="s">
        <v>291</v>
      </c>
      <c r="B49" s="8" t="str">
        <f>BuscaFoneticaBR(A49)</f>
        <v>EKATADO</v>
      </c>
      <c r="C49" s="53"/>
      <c r="D49" s="15" t="str">
        <f>FonemaPT(A49,1)</f>
        <v>MKMTD</v>
      </c>
      <c r="E49" s="53"/>
      <c r="F49" s="8" t="str">
        <f>RSOUNDEX(A49)</f>
        <v>E525</v>
      </c>
      <c r="G49" s="53"/>
      <c r="H49" s="8" t="str">
        <f>FonemaPT(A49)</f>
        <v>EMKMTADO</v>
      </c>
      <c r="I49" s="53"/>
    </row>
    <row r="50" spans="1:9" ht="18.75" customHeight="1" x14ac:dyDescent="0.3">
      <c r="A50" s="4"/>
      <c r="B50" s="8"/>
      <c r="C50" s="5"/>
      <c r="D50" s="15"/>
      <c r="E50" s="5"/>
      <c r="F50" s="8"/>
      <c r="G50" s="5"/>
      <c r="H50" s="8"/>
      <c r="I50" s="5"/>
    </row>
    <row r="51" spans="1:9" ht="18.75" customHeight="1" x14ac:dyDescent="0.3">
      <c r="A51" s="4" t="s">
        <v>283</v>
      </c>
      <c r="B51" s="8" t="str">
        <f>BuscaFoneticaBR(A51)</f>
        <v>KOTATA</v>
      </c>
      <c r="C51" s="53" t="str">
        <f>IF(B51=B52,"Iguais","Diferentes")</f>
        <v>Iguais</v>
      </c>
      <c r="D51" s="15" t="str">
        <f>FonemaPT(A51,1)</f>
        <v>KMT</v>
      </c>
      <c r="E51" s="53" t="str">
        <f>IF(D51=D52,"Iguais","Diferentes")</f>
        <v>Iguais</v>
      </c>
      <c r="F51" s="8" t="str">
        <f>RSOUNDEX(A51)</f>
        <v>C532</v>
      </c>
      <c r="G51" s="53" t="str">
        <f>IF(F51=F52,"Iguais","Diferentes")</f>
        <v>Diferentes</v>
      </c>
      <c r="H51" s="8" t="str">
        <f>FonemaPT(A51)</f>
        <v>KMTATA</v>
      </c>
      <c r="I51" s="53" t="str">
        <f>IF(H51=H52,"Iguais","Diferentes")</f>
        <v>Iguais</v>
      </c>
    </row>
    <row r="52" spans="1:9" ht="18.75" customHeight="1" x14ac:dyDescent="0.3">
      <c r="A52" s="4" t="s">
        <v>284</v>
      </c>
      <c r="B52" s="8" t="str">
        <f>BuscaFoneticaBR(A52)</f>
        <v>KOTATA</v>
      </c>
      <c r="C52" s="53"/>
      <c r="D52" s="15" t="str">
        <f>FonemaPT(A52,1)</f>
        <v>KMT</v>
      </c>
      <c r="E52" s="53"/>
      <c r="F52" s="8" t="str">
        <f>RSOUNDEX(A52)</f>
        <v>C533</v>
      </c>
      <c r="G52" s="53"/>
      <c r="H52" s="8" t="str">
        <f>FonemaPT(A52)</f>
        <v>KMTATA</v>
      </c>
      <c r="I52" s="53"/>
    </row>
    <row r="53" spans="1:9" ht="18.75" x14ac:dyDescent="0.3">
      <c r="A53" s="4"/>
      <c r="B53" s="8"/>
      <c r="C53" s="4"/>
      <c r="D53" s="15"/>
      <c r="F53" s="8"/>
      <c r="H53" s="8"/>
    </row>
    <row r="54" spans="1:9" ht="15.75" thickBot="1" x14ac:dyDescent="0.3"/>
    <row r="55" spans="1:9" ht="21.75" customHeight="1" thickBot="1" x14ac:dyDescent="0.3">
      <c r="A55" s="54" t="s">
        <v>194</v>
      </c>
      <c r="B55" s="57" t="s">
        <v>178</v>
      </c>
      <c r="C55" s="58"/>
      <c r="D55" s="57" t="s">
        <v>196</v>
      </c>
      <c r="E55" s="58"/>
      <c r="F55" s="57" t="s">
        <v>195</v>
      </c>
      <c r="G55" s="58"/>
      <c r="H55" s="57" t="s">
        <v>179</v>
      </c>
      <c r="I55" s="58"/>
    </row>
    <row r="56" spans="1:9" ht="21" x14ac:dyDescent="0.35">
      <c r="A56" s="55"/>
      <c r="B56" s="11" t="s">
        <v>160</v>
      </c>
      <c r="C56" s="9">
        <f>COUNTIF(C3:C53,"Iguais")</f>
        <v>17</v>
      </c>
      <c r="D56" s="16" t="s">
        <v>160</v>
      </c>
      <c r="E56" s="9">
        <f>COUNTIF(E3:E53,"Iguais")</f>
        <v>13</v>
      </c>
      <c r="F56" s="11" t="s">
        <v>160</v>
      </c>
      <c r="G56" s="9">
        <f>COUNTIF(G3:G53,"Iguais")</f>
        <v>10</v>
      </c>
      <c r="H56" s="11" t="s">
        <v>160</v>
      </c>
      <c r="I56" s="9">
        <f>COUNTIF(I3:I53,"Iguais")</f>
        <v>8</v>
      </c>
    </row>
    <row r="57" spans="1:9" ht="21" x14ac:dyDescent="0.35">
      <c r="A57" s="55"/>
      <c r="B57" s="12" t="s">
        <v>190</v>
      </c>
      <c r="C57" s="10">
        <f>COUNTA(C3:C53)</f>
        <v>17</v>
      </c>
      <c r="D57" s="17" t="s">
        <v>190</v>
      </c>
      <c r="E57" s="10">
        <f>COUNTA(E3:E53)</f>
        <v>17</v>
      </c>
      <c r="F57" s="12" t="s">
        <v>190</v>
      </c>
      <c r="G57" s="10">
        <f>COUNTA(G3:G53)</f>
        <v>17</v>
      </c>
      <c r="H57" s="12" t="s">
        <v>190</v>
      </c>
      <c r="I57" s="10">
        <f>COUNTA(I3:I53)</f>
        <v>17</v>
      </c>
    </row>
    <row r="58" spans="1:9" ht="21.75" thickBot="1" x14ac:dyDescent="0.4">
      <c r="A58" s="56"/>
      <c r="B58" s="13" t="s">
        <v>191</v>
      </c>
      <c r="C58" s="19">
        <f>C56/C57</f>
        <v>1</v>
      </c>
      <c r="D58" s="18" t="s">
        <v>191</v>
      </c>
      <c r="E58" s="19">
        <f>E56/E57</f>
        <v>0.76470588235294112</v>
      </c>
      <c r="F58" s="13" t="s">
        <v>191</v>
      </c>
      <c r="G58" s="19">
        <f>G56/G57</f>
        <v>0.58823529411764708</v>
      </c>
      <c r="H58" s="13" t="s">
        <v>191</v>
      </c>
      <c r="I58" s="19">
        <f>I56/I57</f>
        <v>0.47058823529411764</v>
      </c>
    </row>
  </sheetData>
  <mergeCells count="73">
    <mergeCell ref="C3:C4"/>
    <mergeCell ref="E3:E4"/>
    <mergeCell ref="G3:G4"/>
    <mergeCell ref="I3:I4"/>
    <mergeCell ref="C6:C7"/>
    <mergeCell ref="E6:E7"/>
    <mergeCell ref="G6:G7"/>
    <mergeCell ref="I6:I7"/>
    <mergeCell ref="C9:C10"/>
    <mergeCell ref="E9:E10"/>
    <mergeCell ref="G9:G10"/>
    <mergeCell ref="I9:I10"/>
    <mergeCell ref="C12:C13"/>
    <mergeCell ref="E12:E13"/>
    <mergeCell ref="G12:G13"/>
    <mergeCell ref="I12:I13"/>
    <mergeCell ref="C15:C16"/>
    <mergeCell ref="E15:E16"/>
    <mergeCell ref="G15:G16"/>
    <mergeCell ref="I15:I16"/>
    <mergeCell ref="C18:C19"/>
    <mergeCell ref="E18:E19"/>
    <mergeCell ref="G18:G19"/>
    <mergeCell ref="I18:I19"/>
    <mergeCell ref="C21:C22"/>
    <mergeCell ref="E21:E22"/>
    <mergeCell ref="G21:G22"/>
    <mergeCell ref="I21:I22"/>
    <mergeCell ref="C24:C25"/>
    <mergeCell ref="E24:E25"/>
    <mergeCell ref="G24:G25"/>
    <mergeCell ref="I24:I25"/>
    <mergeCell ref="C27:C28"/>
    <mergeCell ref="E27:E28"/>
    <mergeCell ref="G27:G28"/>
    <mergeCell ref="I27:I28"/>
    <mergeCell ref="C30:C31"/>
    <mergeCell ref="E30:E31"/>
    <mergeCell ref="G30:G31"/>
    <mergeCell ref="I30:I31"/>
    <mergeCell ref="C33:C34"/>
    <mergeCell ref="E33:E34"/>
    <mergeCell ref="G33:G34"/>
    <mergeCell ref="I33:I34"/>
    <mergeCell ref="C36:C37"/>
    <mergeCell ref="E36:E37"/>
    <mergeCell ref="G36:G37"/>
    <mergeCell ref="I36:I37"/>
    <mergeCell ref="C39:C40"/>
    <mergeCell ref="E39:E40"/>
    <mergeCell ref="G39:G40"/>
    <mergeCell ref="I39:I40"/>
    <mergeCell ref="C42:C43"/>
    <mergeCell ref="E42:E43"/>
    <mergeCell ref="G42:G43"/>
    <mergeCell ref="I42:I43"/>
    <mergeCell ref="C51:C52"/>
    <mergeCell ref="E51:E52"/>
    <mergeCell ref="G51:G52"/>
    <mergeCell ref="I51:I52"/>
    <mergeCell ref="A55:A58"/>
    <mergeCell ref="B55:C55"/>
    <mergeCell ref="D55:E55"/>
    <mergeCell ref="F55:G55"/>
    <mergeCell ref="H55:I55"/>
    <mergeCell ref="C45:C46"/>
    <mergeCell ref="E45:E46"/>
    <mergeCell ref="G45:G46"/>
    <mergeCell ref="I45:I46"/>
    <mergeCell ref="C48:C49"/>
    <mergeCell ref="E48:E49"/>
    <mergeCell ref="G48:G49"/>
    <mergeCell ref="I48:I49"/>
  </mergeCells>
  <conditionalFormatting sqref="C14:C38 C56:C1048576 G1 D1:E1 C1:C11 C51:C54">
    <cfRule type="cellIs" dxfId="109" priority="59" operator="equal">
      <formula>"Diferentes"</formula>
    </cfRule>
  </conditionalFormatting>
  <conditionalFormatting sqref="C12:C13">
    <cfRule type="cellIs" dxfId="108" priority="58" operator="equal">
      <formula>"Diferentes"</formula>
    </cfRule>
  </conditionalFormatting>
  <conditionalFormatting sqref="I3:I4">
    <cfRule type="cellIs" dxfId="107" priority="57" operator="equal">
      <formula>"Diferentes"</formula>
    </cfRule>
  </conditionalFormatting>
  <conditionalFormatting sqref="I6:I7">
    <cfRule type="cellIs" dxfId="106" priority="56" operator="equal">
      <formula>"Diferentes"</formula>
    </cfRule>
  </conditionalFormatting>
  <conditionalFormatting sqref="I1">
    <cfRule type="cellIs" dxfId="105" priority="44" operator="equal">
      <formula>"Diferentes"</formula>
    </cfRule>
  </conditionalFormatting>
  <conditionalFormatting sqref="I9:I10">
    <cfRule type="cellIs" dxfId="104" priority="55" operator="equal">
      <formula>"Diferentes"</formula>
    </cfRule>
  </conditionalFormatting>
  <conditionalFormatting sqref="I12:I13">
    <cfRule type="cellIs" dxfId="103" priority="54" operator="equal">
      <formula>"Diferentes"</formula>
    </cfRule>
  </conditionalFormatting>
  <conditionalFormatting sqref="I15:I16">
    <cfRule type="cellIs" dxfId="102" priority="53" operator="equal">
      <formula>"Diferentes"</formula>
    </cfRule>
  </conditionalFormatting>
  <conditionalFormatting sqref="I18:I19">
    <cfRule type="cellIs" dxfId="101" priority="52" operator="equal">
      <formula>"Diferentes"</formula>
    </cfRule>
  </conditionalFormatting>
  <conditionalFormatting sqref="I21:I22">
    <cfRule type="cellIs" dxfId="100" priority="51" operator="equal">
      <formula>"Diferentes"</formula>
    </cfRule>
  </conditionalFormatting>
  <conditionalFormatting sqref="I24:I25">
    <cfRule type="cellIs" dxfId="99" priority="50" operator="equal">
      <formula>"Diferentes"</formula>
    </cfRule>
  </conditionalFormatting>
  <conditionalFormatting sqref="I27:I28">
    <cfRule type="cellIs" dxfId="98" priority="49" operator="equal">
      <formula>"Diferentes"</formula>
    </cfRule>
  </conditionalFormatting>
  <conditionalFormatting sqref="I30:I31">
    <cfRule type="cellIs" dxfId="97" priority="48" operator="equal">
      <formula>"Diferentes"</formula>
    </cfRule>
  </conditionalFormatting>
  <conditionalFormatting sqref="I33:I34">
    <cfRule type="cellIs" dxfId="96" priority="47" operator="equal">
      <formula>"Diferentes"</formula>
    </cfRule>
  </conditionalFormatting>
  <conditionalFormatting sqref="I36:I37">
    <cfRule type="cellIs" dxfId="95" priority="46" operator="equal">
      <formula>"Diferentes"</formula>
    </cfRule>
  </conditionalFormatting>
  <conditionalFormatting sqref="I51:I52">
    <cfRule type="cellIs" dxfId="94" priority="45" operator="equal">
      <formula>"Diferentes"</formula>
    </cfRule>
  </conditionalFormatting>
  <conditionalFormatting sqref="G3:G4">
    <cfRule type="cellIs" dxfId="93" priority="43" operator="equal">
      <formula>"Diferentes"</formula>
    </cfRule>
  </conditionalFormatting>
  <conditionalFormatting sqref="G6:G7">
    <cfRule type="cellIs" dxfId="92" priority="42" operator="equal">
      <formula>"Diferentes"</formula>
    </cfRule>
  </conditionalFormatting>
  <conditionalFormatting sqref="G9:G10">
    <cfRule type="cellIs" dxfId="91" priority="41" operator="equal">
      <formula>"Diferentes"</formula>
    </cfRule>
  </conditionalFormatting>
  <conditionalFormatting sqref="G12:G13">
    <cfRule type="cellIs" dxfId="90" priority="40" operator="equal">
      <formula>"Diferentes"</formula>
    </cfRule>
  </conditionalFormatting>
  <conditionalFormatting sqref="G15:G16">
    <cfRule type="cellIs" dxfId="89" priority="39" operator="equal">
      <formula>"Diferentes"</formula>
    </cfRule>
  </conditionalFormatting>
  <conditionalFormatting sqref="G18:G19">
    <cfRule type="cellIs" dxfId="88" priority="38" operator="equal">
      <formula>"Diferentes"</formula>
    </cfRule>
  </conditionalFormatting>
  <conditionalFormatting sqref="G21:G22">
    <cfRule type="cellIs" dxfId="87" priority="37" operator="equal">
      <formula>"Diferentes"</formula>
    </cfRule>
  </conditionalFormatting>
  <conditionalFormatting sqref="G24:G25">
    <cfRule type="cellIs" dxfId="86" priority="36" operator="equal">
      <formula>"Diferentes"</formula>
    </cfRule>
  </conditionalFormatting>
  <conditionalFormatting sqref="G27:G28">
    <cfRule type="cellIs" dxfId="85" priority="35" operator="equal">
      <formula>"Diferentes"</formula>
    </cfRule>
  </conditionalFormatting>
  <conditionalFormatting sqref="G30:G31">
    <cfRule type="cellIs" dxfId="84" priority="34" operator="equal">
      <formula>"Diferentes"</formula>
    </cfRule>
  </conditionalFormatting>
  <conditionalFormatting sqref="G33:G34">
    <cfRule type="cellIs" dxfId="83" priority="33" operator="equal">
      <formula>"Diferentes"</formula>
    </cfRule>
  </conditionalFormatting>
  <conditionalFormatting sqref="G36:G37">
    <cfRule type="cellIs" dxfId="82" priority="32" operator="equal">
      <formula>"Diferentes"</formula>
    </cfRule>
  </conditionalFormatting>
  <conditionalFormatting sqref="G51:G52">
    <cfRule type="cellIs" dxfId="81" priority="31" operator="equal">
      <formula>"Diferentes"</formula>
    </cfRule>
  </conditionalFormatting>
  <conditionalFormatting sqref="G56:G58 I56:I58">
    <cfRule type="cellIs" dxfId="80" priority="30" operator="equal">
      <formula>"Diferentes"</formula>
    </cfRule>
  </conditionalFormatting>
  <conditionalFormatting sqref="E3:E4">
    <cfRule type="cellIs" dxfId="79" priority="29" operator="equal">
      <formula>"Diferentes"</formula>
    </cfRule>
  </conditionalFormatting>
  <conditionalFormatting sqref="E6:E7">
    <cfRule type="cellIs" dxfId="78" priority="28" operator="equal">
      <formula>"Diferentes"</formula>
    </cfRule>
  </conditionalFormatting>
  <conditionalFormatting sqref="E9:E10">
    <cfRule type="cellIs" dxfId="77" priority="27" operator="equal">
      <formula>"Diferentes"</formula>
    </cfRule>
  </conditionalFormatting>
  <conditionalFormatting sqref="E12:E13">
    <cfRule type="cellIs" dxfId="76" priority="26" operator="equal">
      <formula>"Diferentes"</formula>
    </cfRule>
  </conditionalFormatting>
  <conditionalFormatting sqref="E15:E16">
    <cfRule type="cellIs" dxfId="75" priority="25" operator="equal">
      <formula>"Diferentes"</formula>
    </cfRule>
  </conditionalFormatting>
  <conditionalFormatting sqref="E18:E19">
    <cfRule type="cellIs" dxfId="74" priority="24" operator="equal">
      <formula>"Diferentes"</formula>
    </cfRule>
  </conditionalFormatting>
  <conditionalFormatting sqref="E21:E22">
    <cfRule type="cellIs" dxfId="73" priority="23" operator="equal">
      <formula>"Diferentes"</formula>
    </cfRule>
  </conditionalFormatting>
  <conditionalFormatting sqref="E24:E25">
    <cfRule type="cellIs" dxfId="72" priority="22" operator="equal">
      <formula>"Diferentes"</formula>
    </cfRule>
  </conditionalFormatting>
  <conditionalFormatting sqref="E27:E28">
    <cfRule type="cellIs" dxfId="71" priority="21" operator="equal">
      <formula>"Diferentes"</formula>
    </cfRule>
  </conditionalFormatting>
  <conditionalFormatting sqref="E30:E31">
    <cfRule type="cellIs" dxfId="70" priority="20" operator="equal">
      <formula>"Diferentes"</formula>
    </cfRule>
  </conditionalFormatting>
  <conditionalFormatting sqref="E33:E34">
    <cfRule type="cellIs" dxfId="69" priority="19" operator="equal">
      <formula>"Diferentes"</formula>
    </cfRule>
  </conditionalFormatting>
  <conditionalFormatting sqref="E36:E37">
    <cfRule type="cellIs" dxfId="68" priority="18" operator="equal">
      <formula>"Diferentes"</formula>
    </cfRule>
  </conditionalFormatting>
  <conditionalFormatting sqref="E51:E52">
    <cfRule type="cellIs" dxfId="67" priority="17" operator="equal">
      <formula>"Diferentes"</formula>
    </cfRule>
  </conditionalFormatting>
  <conditionalFormatting sqref="E56:E58">
    <cfRule type="cellIs" dxfId="66" priority="16" operator="equal">
      <formula>"Diferentes"</formula>
    </cfRule>
  </conditionalFormatting>
  <conditionalFormatting sqref="C39:C44 C47 C50">
    <cfRule type="cellIs" dxfId="65" priority="15" operator="equal">
      <formula>"Diferentes"</formula>
    </cfRule>
  </conditionalFormatting>
  <conditionalFormatting sqref="I39:I40">
    <cfRule type="cellIs" dxfId="64" priority="14" operator="equal">
      <formula>"Diferentes"</formula>
    </cfRule>
  </conditionalFormatting>
  <conditionalFormatting sqref="I42:I44 I47 I50">
    <cfRule type="cellIs" dxfId="63" priority="13" operator="equal">
      <formula>"Diferentes"</formula>
    </cfRule>
  </conditionalFormatting>
  <conditionalFormatting sqref="G39:G40">
    <cfRule type="cellIs" dxfId="62" priority="12" operator="equal">
      <formula>"Diferentes"</formula>
    </cfRule>
  </conditionalFormatting>
  <conditionalFormatting sqref="G42:G44 G47 G50">
    <cfRule type="cellIs" dxfId="61" priority="11" operator="equal">
      <formula>"Diferentes"</formula>
    </cfRule>
  </conditionalFormatting>
  <conditionalFormatting sqref="E39:E40">
    <cfRule type="cellIs" dxfId="60" priority="10" operator="equal">
      <formula>"Diferentes"</formula>
    </cfRule>
  </conditionalFormatting>
  <conditionalFormatting sqref="E42:E44 E47 E50">
    <cfRule type="cellIs" dxfId="59" priority="9" operator="equal">
      <formula>"Diferentes"</formula>
    </cfRule>
  </conditionalFormatting>
  <conditionalFormatting sqref="C45:C46">
    <cfRule type="cellIs" dxfId="58" priority="8" operator="equal">
      <formula>"Diferentes"</formula>
    </cfRule>
  </conditionalFormatting>
  <conditionalFormatting sqref="I45:I46">
    <cfRule type="cellIs" dxfId="57" priority="7" operator="equal">
      <formula>"Diferentes"</formula>
    </cfRule>
  </conditionalFormatting>
  <conditionalFormatting sqref="G45:G46">
    <cfRule type="cellIs" dxfId="56" priority="6" operator="equal">
      <formula>"Diferentes"</formula>
    </cfRule>
  </conditionalFormatting>
  <conditionalFormatting sqref="E45:E46">
    <cfRule type="cellIs" dxfId="55" priority="5" operator="equal">
      <formula>"Diferentes"</formula>
    </cfRule>
  </conditionalFormatting>
  <conditionalFormatting sqref="C48:C49">
    <cfRule type="cellIs" dxfId="54" priority="4" operator="equal">
      <formula>"Diferentes"</formula>
    </cfRule>
  </conditionalFormatting>
  <conditionalFormatting sqref="I48:I49">
    <cfRule type="cellIs" dxfId="53" priority="3" operator="equal">
      <formula>"Diferentes"</formula>
    </cfRule>
  </conditionalFormatting>
  <conditionalFormatting sqref="G48:G49">
    <cfRule type="cellIs" dxfId="52" priority="2" operator="equal">
      <formula>"Diferentes"</formula>
    </cfRule>
  </conditionalFormatting>
  <conditionalFormatting sqref="E48:E49">
    <cfRule type="cellIs" dxfId="51" priority="1" operator="equal">
      <formula>"Diferentes"</formula>
    </cfRule>
  </conditionalFormatting>
  <hyperlinks>
    <hyperlink ref="A39" r:id="rId1" display="https://www.dicionariodenomesproprios.com.br/fuyuki/" xr:uid="{00000000-0004-0000-0200-000000000000}"/>
  </hyperlinks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/>
  <dimension ref="A1:I52"/>
  <sheetViews>
    <sheetView zoomScale="80" zoomScaleNormal="80" workbookViewId="0">
      <pane ySplit="1" topLeftCell="A2" activePane="bottomLeft" state="frozen"/>
      <selection activeCell="A33" sqref="A33"/>
      <selection pane="bottomLeft" activeCell="A45" sqref="A45"/>
    </sheetView>
  </sheetViews>
  <sheetFormatPr defaultRowHeight="15" x14ac:dyDescent="0.25"/>
  <cols>
    <col min="1" max="1" width="40.28515625" customWidth="1"/>
    <col min="2" max="2" width="39.42578125" customWidth="1"/>
    <col min="3" max="3" width="16" customWidth="1"/>
    <col min="4" max="4" width="34.7109375" style="14" customWidth="1"/>
    <col min="5" max="5" width="16" customWidth="1"/>
    <col min="6" max="6" width="35.140625" customWidth="1"/>
    <col min="7" max="7" width="15.85546875" customWidth="1"/>
    <col min="8" max="8" width="34.85546875" customWidth="1"/>
    <col min="9" max="9" width="16.28515625" customWidth="1"/>
  </cols>
  <sheetData>
    <row r="1" spans="1:9" ht="19.5" thickBot="1" x14ac:dyDescent="0.3">
      <c r="A1" s="1" t="s">
        <v>0</v>
      </c>
      <c r="B1" s="2" t="s">
        <v>178</v>
      </c>
      <c r="C1" s="3" t="s">
        <v>1</v>
      </c>
      <c r="D1" s="2" t="s">
        <v>196</v>
      </c>
      <c r="E1" s="2" t="s">
        <v>1</v>
      </c>
      <c r="F1" s="2" t="s">
        <v>195</v>
      </c>
      <c r="G1" s="3" t="s">
        <v>1</v>
      </c>
      <c r="H1" s="2" t="s">
        <v>179</v>
      </c>
      <c r="I1" s="3" t="s">
        <v>1</v>
      </c>
    </row>
    <row r="2" spans="1:9" ht="18.75" x14ac:dyDescent="0.3">
      <c r="A2" s="4"/>
      <c r="B2" s="4"/>
      <c r="C2" s="4"/>
    </row>
    <row r="3" spans="1:9" ht="18.75" customHeight="1" x14ac:dyDescent="0.3">
      <c r="A3" s="4" t="s">
        <v>222</v>
      </c>
      <c r="B3" s="8" t="str">
        <f>BuscaFoneticaBR(A3)</f>
        <v>EROSE</v>
      </c>
      <c r="C3" s="53" t="str">
        <f>IF(B3=B4,"Iguais","Diferentes")</f>
        <v>Iguais</v>
      </c>
      <c r="D3" s="15" t="str">
        <f>FonemaPT(A3,1)</f>
        <v>LS</v>
      </c>
      <c r="E3" s="53" t="str">
        <f>IF(D3=D4,"Iguais","Diferentes")</f>
        <v>Iguais</v>
      </c>
      <c r="F3" s="8" t="str">
        <f>RSOUNDEX(A3)</f>
        <v>H62</v>
      </c>
      <c r="G3" s="53" t="str">
        <f>IF(F3=F4,"Iguais","Diferentes")</f>
        <v>Diferentes</v>
      </c>
      <c r="H3" s="8" t="str">
        <f>FonemaPT(A3)</f>
        <v>HILOSHI</v>
      </c>
      <c r="I3" s="53" t="str">
        <f>IF(H3=H4,"Iguais","Diferentes")</f>
        <v>Diferentes</v>
      </c>
    </row>
    <row r="4" spans="1:9" ht="18.75" customHeight="1" x14ac:dyDescent="0.3">
      <c r="A4" s="4" t="s">
        <v>223</v>
      </c>
      <c r="B4" s="8" t="str">
        <f>BuscaFoneticaBR(A4)</f>
        <v>EROSE</v>
      </c>
      <c r="C4" s="53"/>
      <c r="D4" s="15" t="str">
        <f>FonemaPT(A4,1)</f>
        <v>LS</v>
      </c>
      <c r="E4" s="53"/>
      <c r="F4" s="8" t="str">
        <f>RSOUNDEX(A4)</f>
        <v>I62</v>
      </c>
      <c r="G4" s="53"/>
      <c r="H4" s="8" t="str">
        <f>FonemaPT(A4)</f>
        <v>ILOSI</v>
      </c>
      <c r="I4" s="53"/>
    </row>
    <row r="5" spans="1:9" ht="18.75" x14ac:dyDescent="0.3">
      <c r="A5" s="4"/>
      <c r="B5" s="8"/>
      <c r="C5" s="4"/>
      <c r="D5" s="15"/>
      <c r="F5" s="8"/>
      <c r="H5" s="8"/>
    </row>
    <row r="6" spans="1:9" ht="18.75" customHeight="1" x14ac:dyDescent="0.3">
      <c r="A6" s="4" t="s">
        <v>224</v>
      </c>
      <c r="B6" s="8" t="str">
        <f>BuscaFoneticaBR(A6)</f>
        <v>TAKASE</v>
      </c>
      <c r="C6" s="53" t="str">
        <f>IF(B6=B7,"Iguais","Diferentes")</f>
        <v>Iguais</v>
      </c>
      <c r="D6" s="15" t="str">
        <f>FonemaPT(A6,1)</f>
        <v>TKS</v>
      </c>
      <c r="E6" s="53" t="str">
        <f>IF(D6=D7,"Iguais","Diferentes")</f>
        <v>Iguais</v>
      </c>
      <c r="F6" s="8" t="str">
        <f>RSOUNDEX(A6)</f>
        <v>T22</v>
      </c>
      <c r="G6" s="53" t="str">
        <f>IF(F6=F7,"Iguais","Diferentes")</f>
        <v>Iguais</v>
      </c>
      <c r="H6" s="8" t="str">
        <f>FonemaPT(A6)</f>
        <v>TAKASHI</v>
      </c>
      <c r="I6" s="53" t="str">
        <f>IF(H6=H7,"Iguais","Diferentes")</f>
        <v>Diferentes</v>
      </c>
    </row>
    <row r="7" spans="1:9" ht="18.75" customHeight="1" x14ac:dyDescent="0.3">
      <c r="A7" s="4" t="s">
        <v>225</v>
      </c>
      <c r="B7" s="8" t="str">
        <f>BuscaFoneticaBR(A7)</f>
        <v>TAKASE</v>
      </c>
      <c r="C7" s="53"/>
      <c r="D7" s="15" t="str">
        <f>FonemaPT(A7,1)</f>
        <v>TKS</v>
      </c>
      <c r="E7" s="53"/>
      <c r="F7" s="8" t="str">
        <f>RSOUNDEX(A7)</f>
        <v>T22</v>
      </c>
      <c r="G7" s="53"/>
      <c r="H7" s="8" t="str">
        <f>FonemaPT(A7)</f>
        <v>TAKSI</v>
      </c>
      <c r="I7" s="53"/>
    </row>
    <row r="8" spans="1:9" ht="18.75" x14ac:dyDescent="0.3">
      <c r="A8" s="4"/>
      <c r="B8" s="8"/>
      <c r="C8" s="4"/>
      <c r="D8" s="15"/>
      <c r="F8" s="8"/>
      <c r="H8" s="8"/>
    </row>
    <row r="9" spans="1:9" ht="18.75" customHeight="1" x14ac:dyDescent="0.3">
      <c r="A9" s="4" t="s">
        <v>226</v>
      </c>
      <c r="B9" s="8" t="str">
        <f>BuscaFoneticaBR(A9)</f>
        <v>AKERA</v>
      </c>
      <c r="C9" s="53" t="str">
        <f>IF(B9=B10,"Iguais","Diferentes")</f>
        <v>Iguais</v>
      </c>
      <c r="D9" s="15" t="str">
        <f>FonemaPT(A9,1)</f>
        <v>KL</v>
      </c>
      <c r="E9" s="53" t="str">
        <f>IF(D9=D10,"Iguais","Diferentes")</f>
        <v>Iguais</v>
      </c>
      <c r="F9" s="8" t="str">
        <f>RSOUNDEX(A9)</f>
        <v>A26</v>
      </c>
      <c r="G9" s="53" t="str">
        <f>IF(F9=F10,"Iguais","Diferentes")</f>
        <v>Iguais</v>
      </c>
      <c r="H9" s="8" t="str">
        <f>FonemaPT(A9)</f>
        <v>AKILA</v>
      </c>
      <c r="I9" s="53" t="str">
        <f>IF(H9=H10,"Iguais","Diferentes")</f>
        <v>Diferentes</v>
      </c>
    </row>
    <row r="10" spans="1:9" ht="18.75" customHeight="1" x14ac:dyDescent="0.3">
      <c r="A10" s="4" t="s">
        <v>227</v>
      </c>
      <c r="B10" s="8" t="str">
        <f>BuscaFoneticaBR(A10)</f>
        <v>AKERA</v>
      </c>
      <c r="C10" s="53"/>
      <c r="D10" s="15" t="str">
        <f>FonemaPT(A10,1)</f>
        <v>KL</v>
      </c>
      <c r="E10" s="53"/>
      <c r="F10" s="8" t="str">
        <f>RSOUNDEX(A10)</f>
        <v>A26</v>
      </c>
      <c r="G10" s="53"/>
      <c r="H10" s="8" t="str">
        <f>FonemaPT(A10)</f>
        <v>AKUILA</v>
      </c>
      <c r="I10" s="53"/>
    </row>
    <row r="11" spans="1:9" ht="18.75" x14ac:dyDescent="0.3">
      <c r="A11" s="4"/>
      <c r="B11" s="8"/>
      <c r="C11" s="4"/>
      <c r="D11" s="15"/>
      <c r="F11" s="8"/>
      <c r="H11" s="8"/>
    </row>
    <row r="12" spans="1:9" ht="18.75" customHeight="1" x14ac:dyDescent="0.3">
      <c r="A12" s="4" t="s">
        <v>228</v>
      </c>
      <c r="B12" s="8" t="str">
        <f>BuscaFoneticaBR(A12)</f>
        <v>EDEKE</v>
      </c>
      <c r="C12" s="53" t="str">
        <f>IF(B12=B13,"Iguais","Diferentes")</f>
        <v>Diferentes</v>
      </c>
      <c r="D12" s="15" t="str">
        <f>FonemaPT(A12,1)</f>
        <v>DK</v>
      </c>
      <c r="E12" s="53" t="str">
        <f>IF(D12=D13,"Iguais","Diferentes")</f>
        <v>Diferentes</v>
      </c>
      <c r="F12" s="8" t="str">
        <f>RSOUNDEX(A12)</f>
        <v>H32</v>
      </c>
      <c r="G12" s="53" t="str">
        <f>IF(F12=F13,"Iguais","Diferentes")</f>
        <v>Diferentes</v>
      </c>
      <c r="H12" s="8" t="str">
        <f>FonemaPT(A12)</f>
        <v>HIDEKI</v>
      </c>
      <c r="I12" s="53" t="str">
        <f>IF(H12=H13,"Iguais","Diferentes")</f>
        <v>Diferentes</v>
      </c>
    </row>
    <row r="13" spans="1:9" ht="18.75" customHeight="1" x14ac:dyDescent="0.3">
      <c r="A13" s="4" t="s">
        <v>229</v>
      </c>
      <c r="B13" s="8" t="str">
        <f>BuscaFoneticaBR(A13)</f>
        <v>REDEKE</v>
      </c>
      <c r="C13" s="53"/>
      <c r="D13" s="15" t="str">
        <f>FonemaPT(A13,1)</f>
        <v>LDK</v>
      </c>
      <c r="E13" s="53"/>
      <c r="F13" s="8" t="str">
        <f>RSOUNDEX(A13)</f>
        <v>R32</v>
      </c>
      <c r="G13" s="53"/>
      <c r="H13" s="8" t="str">
        <f>FonemaPT(A13)</f>
        <v>LIDEKUI</v>
      </c>
      <c r="I13" s="53"/>
    </row>
    <row r="14" spans="1:9" ht="18.75" x14ac:dyDescent="0.3">
      <c r="A14" s="4"/>
      <c r="B14" s="8"/>
      <c r="C14" s="4"/>
      <c r="D14" s="15"/>
      <c r="F14" s="8"/>
      <c r="H14" s="8"/>
    </row>
    <row r="15" spans="1:9" ht="18.75" customHeight="1" x14ac:dyDescent="0.3">
      <c r="A15" s="4" t="s">
        <v>230</v>
      </c>
      <c r="B15" s="8" t="str">
        <f>BuscaFoneticaBR(A15)</f>
        <v>EOME</v>
      </c>
      <c r="C15" s="53" t="str">
        <f>IF(B15=B16,"Iguais","Diferentes")</f>
        <v>Iguais</v>
      </c>
      <c r="D15" s="15" t="str">
        <f>FonemaPT(A15,1)</f>
        <v>M</v>
      </c>
      <c r="E15" s="53" t="str">
        <f>IF(D15=D16,"Iguais","Diferentes")</f>
        <v>Iguais</v>
      </c>
      <c r="F15" s="8" t="str">
        <f>RSOUNDEX(A15)</f>
        <v>Y5</v>
      </c>
      <c r="G15" s="53" t="str">
        <f>IF(F15=F16,"Iguais","Diferentes")</f>
        <v>Diferentes</v>
      </c>
      <c r="H15" s="8" t="str">
        <f>FonemaPT(A15)</f>
        <v>IUMI</v>
      </c>
      <c r="I15" s="53" t="str">
        <f>IF(H15=H16,"Iguais","Diferentes")</f>
        <v>Iguais</v>
      </c>
    </row>
    <row r="16" spans="1:9" ht="18.75" customHeight="1" x14ac:dyDescent="0.3">
      <c r="A16" s="4" t="s">
        <v>231</v>
      </c>
      <c r="B16" s="8" t="str">
        <f>BuscaFoneticaBR(A16)</f>
        <v>EOME</v>
      </c>
      <c r="C16" s="53"/>
      <c r="D16" s="15" t="str">
        <f>FonemaPT(A16,1)</f>
        <v>M</v>
      </c>
      <c r="E16" s="53"/>
      <c r="F16" s="8" t="str">
        <f>RSOUNDEX(A16)</f>
        <v>I5</v>
      </c>
      <c r="G16" s="53"/>
      <c r="H16" s="8" t="str">
        <f>FonemaPT(A16)</f>
        <v>IUMI</v>
      </c>
      <c r="I16" s="53"/>
    </row>
    <row r="17" spans="1:9" ht="18.75" x14ac:dyDescent="0.3">
      <c r="A17" s="4"/>
      <c r="B17" s="8"/>
      <c r="C17" s="4"/>
      <c r="D17" s="15"/>
      <c r="F17" s="8"/>
      <c r="H17" s="8"/>
    </row>
    <row r="18" spans="1:9" ht="18.75" customHeight="1" x14ac:dyDescent="0.3">
      <c r="A18" s="4" t="s">
        <v>232</v>
      </c>
      <c r="B18" s="8" t="str">
        <f>BuscaFoneticaBR(A18)</f>
        <v>SASOKE</v>
      </c>
      <c r="C18" s="53" t="str">
        <f>IF(B18=B19,"Iguais","Diferentes")</f>
        <v>Iguais</v>
      </c>
      <c r="D18" s="15" t="str">
        <f>FonemaPT(A18,1)</f>
        <v>SK</v>
      </c>
      <c r="E18" s="53" t="str">
        <f>IF(D18=D19,"Iguais","Diferentes")</f>
        <v>Iguais</v>
      </c>
      <c r="F18" s="8" t="str">
        <f>RSOUNDEX(A18)</f>
        <v>S22</v>
      </c>
      <c r="G18" s="53" t="str">
        <f>IF(F18=F19,"Iguais","Diferentes")</f>
        <v>Iguais</v>
      </c>
      <c r="H18" s="8" t="str">
        <f>FonemaPT(A18)</f>
        <v>SASUKE</v>
      </c>
      <c r="I18" s="53" t="str">
        <f>IF(H18=H19,"Iguais","Diferentes")</f>
        <v>Diferentes</v>
      </c>
    </row>
    <row r="19" spans="1:9" ht="18.75" customHeight="1" x14ac:dyDescent="0.3">
      <c r="A19" s="4" t="s">
        <v>233</v>
      </c>
      <c r="B19" s="8" t="str">
        <f>BuscaFoneticaBR(A19)</f>
        <v>SASOKE</v>
      </c>
      <c r="C19" s="53"/>
      <c r="D19" s="15" t="str">
        <f>FonemaPT(A19,1)</f>
        <v>SK</v>
      </c>
      <c r="E19" s="53"/>
      <c r="F19" s="8" t="str">
        <f>RSOUNDEX(A19)</f>
        <v>S22</v>
      </c>
      <c r="G19" s="53"/>
      <c r="H19" s="8" t="str">
        <f>FonemaPT(A19)</f>
        <v>SASUKUE</v>
      </c>
      <c r="I19" s="53"/>
    </row>
    <row r="20" spans="1:9" ht="18.75" x14ac:dyDescent="0.3">
      <c r="A20" s="4"/>
      <c r="B20" s="8"/>
      <c r="C20" s="4"/>
      <c r="D20" s="15"/>
      <c r="F20" s="8"/>
      <c r="H20" s="8"/>
    </row>
    <row r="21" spans="1:9" ht="18.75" customHeight="1" x14ac:dyDescent="0.3">
      <c r="A21" s="4" t="s">
        <v>234</v>
      </c>
      <c r="B21" s="8" t="str">
        <f>BuscaFoneticaBR(A21)</f>
        <v>SAKORA</v>
      </c>
      <c r="C21" s="53" t="str">
        <f>IF(B21=B22,"Iguais","Diferentes")</f>
        <v>Iguais</v>
      </c>
      <c r="D21" s="15" t="str">
        <f>FonemaPT(A21,1)</f>
        <v>SKL</v>
      </c>
      <c r="E21" s="53" t="str">
        <f>IF(D21=D22,"Iguais","Diferentes")</f>
        <v>Iguais</v>
      </c>
      <c r="F21" s="8" t="str">
        <f>RSOUNDEX(A21)</f>
        <v>S26</v>
      </c>
      <c r="G21" s="53" t="str">
        <f>IF(F21=F22,"Iguais","Diferentes")</f>
        <v>Iguais</v>
      </c>
      <c r="H21" s="8" t="str">
        <f>FonemaPT(A21)</f>
        <v>SAKULA</v>
      </c>
      <c r="I21" s="53" t="str">
        <f>IF(H21=H22,"Iguais","Diferentes")</f>
        <v>Diferentes</v>
      </c>
    </row>
    <row r="22" spans="1:9" ht="18.75" customHeight="1" x14ac:dyDescent="0.3">
      <c r="A22" s="4" t="s">
        <v>235</v>
      </c>
      <c r="B22" s="8" t="str">
        <f>BuscaFoneticaBR(A22)</f>
        <v>SAKORA</v>
      </c>
      <c r="C22" s="53"/>
      <c r="D22" s="15" t="str">
        <f>FonemaPT(A22,1)</f>
        <v>SKL</v>
      </c>
      <c r="E22" s="53"/>
      <c r="F22" s="8" t="str">
        <f>RSOUNDEX(A22)</f>
        <v>S26</v>
      </c>
      <c r="G22" s="53"/>
      <c r="H22" s="8" t="str">
        <f>FonemaPT(A22)</f>
        <v>SAKLA</v>
      </c>
      <c r="I22" s="53"/>
    </row>
    <row r="23" spans="1:9" ht="18.75" x14ac:dyDescent="0.3">
      <c r="A23" s="4"/>
      <c r="B23" s="8"/>
      <c r="C23" s="4"/>
      <c r="D23" s="15"/>
      <c r="F23" s="8"/>
      <c r="H23" s="8"/>
    </row>
    <row r="24" spans="1:9" ht="18.75" customHeight="1" x14ac:dyDescent="0.3">
      <c r="A24" s="4" t="s">
        <v>236</v>
      </c>
      <c r="B24" s="8" t="str">
        <f>BuscaFoneticaBR(A24)</f>
        <v>KASOME</v>
      </c>
      <c r="C24" s="53" t="str">
        <f>IF(B24=B25,"Iguais","Diferentes")</f>
        <v>Iguais</v>
      </c>
      <c r="D24" s="15" t="str">
        <f>FonemaPT(A24,1)</f>
        <v>KSM</v>
      </c>
      <c r="E24" s="53" t="str">
        <f>IF(D24=D25,"Iguais","Diferentes")</f>
        <v>Iguais</v>
      </c>
      <c r="F24" s="8" t="str">
        <f>RSOUNDEX(A24)</f>
        <v>K25</v>
      </c>
      <c r="G24" s="53" t="str">
        <f>IF(F24=F25,"Iguais","Diferentes")</f>
        <v>Diferentes</v>
      </c>
      <c r="H24" s="8" t="str">
        <f>FonemaPT(A24)</f>
        <v>KASUMI</v>
      </c>
      <c r="I24" s="53" t="str">
        <f>IF(H24=H25,"Iguais","Diferentes")</f>
        <v>Diferentes</v>
      </c>
    </row>
    <row r="25" spans="1:9" ht="18.75" customHeight="1" x14ac:dyDescent="0.3">
      <c r="A25" s="4" t="s">
        <v>237</v>
      </c>
      <c r="B25" s="8" t="str">
        <f>BuscaFoneticaBR(A25)</f>
        <v>KASOME</v>
      </c>
      <c r="C25" s="53"/>
      <c r="D25" s="15" t="str">
        <f>FonemaPT(A25,1)</f>
        <v>KSM</v>
      </c>
      <c r="E25" s="53"/>
      <c r="F25" s="8" t="str">
        <f>RSOUNDEX(A25)</f>
        <v>C25</v>
      </c>
      <c r="G25" s="53"/>
      <c r="H25" s="8" t="str">
        <f>FonemaPT(A25)</f>
        <v>KSUMI</v>
      </c>
      <c r="I25" s="53"/>
    </row>
    <row r="26" spans="1:9" ht="18.75" x14ac:dyDescent="0.3">
      <c r="A26" s="4"/>
      <c r="B26" s="8"/>
      <c r="C26" s="4"/>
      <c r="D26" s="15"/>
      <c r="F26" s="8"/>
      <c r="H26" s="8"/>
    </row>
    <row r="27" spans="1:9" ht="18.75" customHeight="1" x14ac:dyDescent="0.3">
      <c r="A27" s="4" t="s">
        <v>238</v>
      </c>
      <c r="B27" s="8" t="str">
        <f>BuscaFoneticaBR(A27)</f>
        <v>EOSEAKE</v>
      </c>
      <c r="C27" s="53" t="str">
        <f>IF(B27=B28,"Iguais","Diferentes")</f>
        <v>Iguais</v>
      </c>
      <c r="D27" s="15" t="str">
        <f>FonemaPT(A27,1)</f>
        <v>SK</v>
      </c>
      <c r="E27" s="53" t="str">
        <f>IF(D27=D28,"Iguais","Diferentes")</f>
        <v>Diferentes</v>
      </c>
      <c r="F27" s="8" t="str">
        <f>RSOUNDEX(A27)</f>
        <v>Y22</v>
      </c>
      <c r="G27" s="53" t="str">
        <f>IF(F27=F28,"Iguais","Diferentes")</f>
        <v>Diferentes</v>
      </c>
      <c r="H27" s="8" t="str">
        <f>FonemaPT(A27)</f>
        <v>IOSHIAKI</v>
      </c>
      <c r="I27" s="53" t="str">
        <f>IF(H27=H28,"Iguais","Diferentes")</f>
        <v>Diferentes</v>
      </c>
    </row>
    <row r="28" spans="1:9" ht="18.75" customHeight="1" x14ac:dyDescent="0.3">
      <c r="A28" s="4" t="s">
        <v>239</v>
      </c>
      <c r="B28" s="8" t="str">
        <f>BuscaFoneticaBR(A28)</f>
        <v>EOSEAKE</v>
      </c>
      <c r="C28" s="53"/>
      <c r="D28" s="15" t="str">
        <f>FonemaPT(A28,1)</f>
        <v>CK</v>
      </c>
      <c r="E28" s="53"/>
      <c r="F28" s="8" t="str">
        <f>RSOUNDEX(A28)</f>
        <v>I22</v>
      </c>
      <c r="G28" s="53"/>
      <c r="H28" s="8" t="str">
        <f>FonemaPT(A28)</f>
        <v>IOCHIAKUI</v>
      </c>
      <c r="I28" s="53"/>
    </row>
    <row r="29" spans="1:9" ht="18.75" x14ac:dyDescent="0.3">
      <c r="A29" s="4"/>
      <c r="B29" s="8"/>
      <c r="C29" s="4"/>
      <c r="D29" s="15"/>
      <c r="F29" s="8"/>
      <c r="H29" s="8"/>
    </row>
    <row r="30" spans="1:9" ht="18.75" customHeight="1" x14ac:dyDescent="0.3">
      <c r="A30" s="4" t="s">
        <v>240</v>
      </c>
      <c r="B30" s="8" t="str">
        <f>BuscaFoneticaBR(A30)</f>
        <v>ESERO</v>
      </c>
      <c r="C30" s="53" t="str">
        <f>IF(B30=B31,"Iguais","Diferentes")</f>
        <v>Iguais</v>
      </c>
      <c r="D30" s="15" t="str">
        <f>FonemaPT(A30,1)</f>
        <v>CL</v>
      </c>
      <c r="E30" s="53" t="str">
        <f>IF(D30=D31,"Iguais","Diferentes")</f>
        <v>Diferentes</v>
      </c>
      <c r="F30" s="8" t="str">
        <f>RSOUNDEX(A30)</f>
        <v>I26</v>
      </c>
      <c r="G30" s="53" t="str">
        <f>IF(F30=F31,"Iguais","Diferentes")</f>
        <v>Iguais</v>
      </c>
      <c r="H30" s="8" t="str">
        <f>FonemaPT(A30)</f>
        <v>ICHILO</v>
      </c>
      <c r="I30" s="53" t="str">
        <f>IF(H30=H31,"Iguais","Diferentes")</f>
        <v>Diferentes</v>
      </c>
    </row>
    <row r="31" spans="1:9" ht="18.75" customHeight="1" x14ac:dyDescent="0.3">
      <c r="A31" s="4" t="s">
        <v>241</v>
      </c>
      <c r="B31" s="8" t="str">
        <f>BuscaFoneticaBR(A31)</f>
        <v>ESERO</v>
      </c>
      <c r="C31" s="53"/>
      <c r="D31" s="15" t="str">
        <f>FonemaPT(A31,1)</f>
        <v>SL</v>
      </c>
      <c r="E31" s="53"/>
      <c r="F31" s="8" t="str">
        <f>RSOUNDEX(A31)</f>
        <v>I26</v>
      </c>
      <c r="G31" s="53"/>
      <c r="H31" s="8" t="str">
        <f>FonemaPT(A31)</f>
        <v>ISILO</v>
      </c>
      <c r="I31" s="53"/>
    </row>
    <row r="32" spans="1:9" ht="18.75" x14ac:dyDescent="0.3">
      <c r="A32" s="4"/>
      <c r="B32" s="8"/>
      <c r="C32" s="4"/>
      <c r="D32" s="15"/>
      <c r="F32" s="8"/>
      <c r="H32" s="8"/>
    </row>
    <row r="33" spans="1:9" ht="18.75" customHeight="1" x14ac:dyDescent="0.3">
      <c r="A33" s="4" t="s">
        <v>242</v>
      </c>
      <c r="B33" s="8" t="str">
        <f>BuscaFoneticaBR(A33)</f>
        <v>MEAKO</v>
      </c>
      <c r="C33" s="53" t="str">
        <f>IF(B33=B34,"Iguais","Diferentes")</f>
        <v>Iguais</v>
      </c>
      <c r="D33" s="15" t="str">
        <f>FonemaPT(A33,1)</f>
        <v>MK</v>
      </c>
      <c r="E33" s="53" t="str">
        <f>IF(D33=D34,"Iguais","Diferentes")</f>
        <v>Iguais</v>
      </c>
      <c r="F33" s="8" t="str">
        <f>RSOUNDEX(A33)</f>
        <v>M2</v>
      </c>
      <c r="G33" s="53" t="str">
        <f>IF(F33=F34,"Iguais","Diferentes")</f>
        <v>Iguais</v>
      </c>
      <c r="H33" s="8" t="str">
        <f>FonemaPT(A33)</f>
        <v>MIAKO</v>
      </c>
      <c r="I33" s="53" t="str">
        <f>IF(H33=H34,"Iguais","Diferentes")</f>
        <v>Diferentes</v>
      </c>
    </row>
    <row r="34" spans="1:9" ht="18.75" customHeight="1" x14ac:dyDescent="0.3">
      <c r="A34" s="4" t="s">
        <v>243</v>
      </c>
      <c r="B34" s="8" t="str">
        <f>BuscaFoneticaBR(A34)</f>
        <v>MEAKO</v>
      </c>
      <c r="C34" s="53"/>
      <c r="D34" s="15" t="str">
        <f>FonemaPT(A34,1)</f>
        <v>MK</v>
      </c>
      <c r="E34" s="53"/>
      <c r="F34" s="8" t="str">
        <f>RSOUNDEX(A34)</f>
        <v>M2</v>
      </c>
      <c r="G34" s="53"/>
      <c r="H34" s="8" t="str">
        <f>FonemaPT(A34)</f>
        <v>MIAK</v>
      </c>
      <c r="I34" s="53"/>
    </row>
    <row r="35" spans="1:9" ht="18.75" x14ac:dyDescent="0.3">
      <c r="A35" s="4"/>
      <c r="B35" s="8"/>
      <c r="C35" s="4"/>
      <c r="D35" s="15"/>
      <c r="F35" s="8"/>
      <c r="H35" s="8"/>
    </row>
    <row r="36" spans="1:9" ht="18.75" customHeight="1" x14ac:dyDescent="0.3">
      <c r="A36" s="4" t="s">
        <v>244</v>
      </c>
      <c r="B36" s="8" t="str">
        <f>BuscaFoneticaBR(A36)</f>
        <v>TATESO</v>
      </c>
      <c r="C36" s="53" t="str">
        <f>IF(B36=B37,"Iguais","Diferentes")</f>
        <v>Iguais</v>
      </c>
      <c r="D36" s="15" t="str">
        <f>FonemaPT(A36,1)</f>
        <v>TS</v>
      </c>
      <c r="E36" s="53" t="str">
        <f>IF(D36=D37,"Iguais","Diferentes")</f>
        <v>Iguais</v>
      </c>
      <c r="F36" s="8" t="str">
        <f>RSOUNDEX(A36)</f>
        <v>T32</v>
      </c>
      <c r="G36" s="53" t="str">
        <f>IF(F36=F37,"Iguais","Diferentes")</f>
        <v>Iguais</v>
      </c>
      <c r="H36" s="8" t="str">
        <f>FonemaPT(A36)</f>
        <v>TASUO</v>
      </c>
      <c r="I36" s="53" t="str">
        <f>IF(H36=H37,"Iguais","Diferentes")</f>
        <v>Diferentes</v>
      </c>
    </row>
    <row r="37" spans="1:9" ht="18.75" customHeight="1" x14ac:dyDescent="0.3">
      <c r="A37" s="4" t="s">
        <v>245</v>
      </c>
      <c r="B37" s="8" t="str">
        <f>BuscaFoneticaBR(A37)</f>
        <v>TATESO</v>
      </c>
      <c r="C37" s="53"/>
      <c r="D37" s="15" t="str">
        <f>FonemaPT(A37,1)</f>
        <v>TS</v>
      </c>
      <c r="E37" s="53"/>
      <c r="F37" s="8" t="str">
        <f>RSOUNDEX(A37)</f>
        <v>T32</v>
      </c>
      <c r="G37" s="53"/>
      <c r="H37" s="8" t="str">
        <f>FonemaPT(A37)</f>
        <v>TATISUO</v>
      </c>
      <c r="I37" s="53"/>
    </row>
    <row r="38" spans="1:9" ht="18.75" x14ac:dyDescent="0.3">
      <c r="A38" s="4"/>
      <c r="B38" s="8"/>
      <c r="C38" s="4"/>
      <c r="D38" s="15"/>
      <c r="F38" s="8"/>
      <c r="H38" s="8"/>
    </row>
    <row r="39" spans="1:9" ht="18.75" customHeight="1" x14ac:dyDescent="0.3">
      <c r="A39" s="4" t="s">
        <v>248</v>
      </c>
      <c r="B39" s="8" t="str">
        <f>BuscaFoneticaBR(A39)</f>
        <v>FOEOKE</v>
      </c>
      <c r="C39" s="53" t="str">
        <f>IF(B39=B40,"Iguais","Diferentes")</f>
        <v>Iguais</v>
      </c>
      <c r="D39" s="15" t="str">
        <f>FonemaPT(A39,1)</f>
        <v>FK</v>
      </c>
      <c r="E39" s="53" t="str">
        <f>IF(D39=D40,"Iguais","Diferentes")</f>
        <v>Iguais</v>
      </c>
      <c r="F39" s="8" t="str">
        <f>RSOUNDEX(A39)</f>
        <v>F2</v>
      </c>
      <c r="G39" s="53" t="str">
        <f>IF(F39=F40,"Iguais","Diferentes")</f>
        <v>Iguais</v>
      </c>
      <c r="H39" s="8" t="str">
        <f>FonemaPT(A39)</f>
        <v>FUIUKI</v>
      </c>
      <c r="I39" s="53" t="str">
        <f>IF(H39=H40,"Iguais","Diferentes")</f>
        <v>Diferentes</v>
      </c>
    </row>
    <row r="40" spans="1:9" ht="18.75" customHeight="1" x14ac:dyDescent="0.3">
      <c r="A40" s="4" t="s">
        <v>249</v>
      </c>
      <c r="B40" s="8" t="str">
        <f>BuscaFoneticaBR(A40)</f>
        <v>FOEOKE</v>
      </c>
      <c r="C40" s="53"/>
      <c r="D40" s="15" t="str">
        <f>FonemaPT(A40,1)</f>
        <v>FK</v>
      </c>
      <c r="E40" s="53"/>
      <c r="F40" s="8" t="str">
        <f>RSOUNDEX(A40)</f>
        <v>F2</v>
      </c>
      <c r="G40" s="53"/>
      <c r="H40" s="8" t="str">
        <f>FonemaPT(A40)</f>
        <v>FUIUKUI</v>
      </c>
      <c r="I40" s="53"/>
    </row>
    <row r="41" spans="1:9" ht="18.75" x14ac:dyDescent="0.3">
      <c r="A41" s="4"/>
      <c r="B41" s="8"/>
      <c r="C41" s="4"/>
      <c r="D41" s="15"/>
      <c r="F41" s="8"/>
      <c r="H41" s="8"/>
    </row>
    <row r="42" spans="1:9" ht="18.75" customHeight="1" x14ac:dyDescent="0.3">
      <c r="A42" s="4" t="s">
        <v>246</v>
      </c>
      <c r="B42" s="8" t="str">
        <f>BuscaFoneticaBR(A42)</f>
        <v>KEMESE</v>
      </c>
      <c r="C42" s="53" t="str">
        <f>IF(B42=B43,"Iguais","Diferentes")</f>
        <v>Iguais</v>
      </c>
      <c r="D42" s="15" t="str">
        <f>FonemaPT(A42,1)</f>
        <v>KMC</v>
      </c>
      <c r="E42" s="53" t="str">
        <f>IF(D42=D43,"Iguais","Diferentes")</f>
        <v>Diferentes</v>
      </c>
      <c r="F42" s="8" t="str">
        <f>RSOUNDEX(A42)</f>
        <v>K52</v>
      </c>
      <c r="G42" s="53" t="str">
        <f>IF(F42=F43,"Iguais","Diferentes")</f>
        <v>Diferentes</v>
      </c>
      <c r="H42" s="8" t="str">
        <f>FonemaPT(A42)</f>
        <v>KEMICHI</v>
      </c>
      <c r="I42" s="53" t="str">
        <f>IF(H42=H43,"Iguais","Diferentes")</f>
        <v>Diferentes</v>
      </c>
    </row>
    <row r="43" spans="1:9" ht="18.75" customHeight="1" x14ac:dyDescent="0.3">
      <c r="A43" s="4" t="s">
        <v>247</v>
      </c>
      <c r="B43" s="8" t="str">
        <f>BuscaFoneticaBR(A43)</f>
        <v>KEMESE</v>
      </c>
      <c r="C43" s="53"/>
      <c r="D43" s="15" t="str">
        <f>FonemaPT(A43,1)</f>
        <v>KMS</v>
      </c>
      <c r="E43" s="53"/>
      <c r="F43" s="8" t="str">
        <f>RSOUNDEX(A43)</f>
        <v>Q52</v>
      </c>
      <c r="G43" s="53"/>
      <c r="H43" s="8" t="str">
        <f>FonemaPT(A43)</f>
        <v>KUEMISE</v>
      </c>
      <c r="I43" s="53"/>
    </row>
    <row r="44" spans="1:9" ht="18.75" x14ac:dyDescent="0.3">
      <c r="A44" s="4"/>
      <c r="B44" s="8"/>
      <c r="C44" s="4"/>
      <c r="D44" s="15"/>
      <c r="F44" s="8"/>
      <c r="H44" s="8"/>
    </row>
    <row r="45" spans="1:9" ht="18.75" customHeight="1" x14ac:dyDescent="0.3">
      <c r="A45" s="4" t="s">
        <v>250</v>
      </c>
      <c r="B45" s="8" t="str">
        <f>BuscaFoneticaBR(A45)</f>
        <v>REME KEME EAMASERO OSERO</v>
      </c>
      <c r="C45" s="53" t="str">
        <f>IF(B45=B46,"Iguais","Diferentes")</f>
        <v>Iguais</v>
      </c>
      <c r="D45" s="15" t="str">
        <f>FonemaPT(A45,1)</f>
        <v>LM KM MSL SL</v>
      </c>
      <c r="E45" s="53" t="str">
        <f>IF(D45=D46,"Iguais","Diferentes")</f>
        <v>Iguais</v>
      </c>
      <c r="F45" s="8" t="str">
        <f>RSOUNDEX(A45)</f>
        <v>L525</v>
      </c>
      <c r="G45" s="53" t="str">
        <f>IF(F45=F46,"Iguais","Diferentes")</f>
        <v>Iguais</v>
      </c>
      <c r="H45" s="8" t="str">
        <f>FonemaPT(A45)</f>
        <v>LEMI KIMIE IAMASHILO OSHILO</v>
      </c>
      <c r="I45" s="53" t="str">
        <f>IF(H45=H46,"Iguais","Diferentes")</f>
        <v>Diferentes</v>
      </c>
    </row>
    <row r="46" spans="1:9" ht="18.75" customHeight="1" x14ac:dyDescent="0.3">
      <c r="A46" s="4" t="s">
        <v>251</v>
      </c>
      <c r="B46" s="8" t="str">
        <f>BuscaFoneticaBR(A46)</f>
        <v>REME KEME EAMASERO OSERO</v>
      </c>
      <c r="C46" s="53"/>
      <c r="D46" s="15" t="str">
        <f>FonemaPT(A46,1)</f>
        <v>LM KM MSL SL</v>
      </c>
      <c r="E46" s="53"/>
      <c r="F46" s="8" t="str">
        <f>RSOUNDEX(A46)</f>
        <v>L525</v>
      </c>
      <c r="G46" s="53"/>
      <c r="H46" s="8" t="str">
        <f>FonemaPT(A46)</f>
        <v>LEMI KUIMIE IAMASILO OSILO</v>
      </c>
      <c r="I46" s="53"/>
    </row>
    <row r="47" spans="1:9" ht="18.75" x14ac:dyDescent="0.3">
      <c r="A47" s="4"/>
      <c r="B47" s="8"/>
      <c r="C47" s="4"/>
      <c r="D47" s="15"/>
      <c r="F47" s="8"/>
      <c r="H47" s="8"/>
    </row>
    <row r="48" spans="1:9" ht="15.75" thickBot="1" x14ac:dyDescent="0.3"/>
    <row r="49" spans="1:9" ht="21.75" customHeight="1" thickBot="1" x14ac:dyDescent="0.3">
      <c r="A49" s="54" t="s">
        <v>194</v>
      </c>
      <c r="B49" s="57" t="s">
        <v>178</v>
      </c>
      <c r="C49" s="58"/>
      <c r="D49" s="57" t="s">
        <v>196</v>
      </c>
      <c r="E49" s="58"/>
      <c r="F49" s="57" t="s">
        <v>195</v>
      </c>
      <c r="G49" s="58"/>
      <c r="H49" s="57" t="s">
        <v>179</v>
      </c>
      <c r="I49" s="58"/>
    </row>
    <row r="50" spans="1:9" ht="21" x14ac:dyDescent="0.35">
      <c r="A50" s="55"/>
      <c r="B50" s="11" t="s">
        <v>160</v>
      </c>
      <c r="C50" s="9">
        <f>COUNTIF(C3:C47,"Iguais")</f>
        <v>14</v>
      </c>
      <c r="D50" s="16" t="s">
        <v>160</v>
      </c>
      <c r="E50" s="9">
        <f>COUNTIF(E3:E47,"Iguais")</f>
        <v>11</v>
      </c>
      <c r="F50" s="11" t="s">
        <v>160</v>
      </c>
      <c r="G50" s="9">
        <f>COUNTIF(G3:G47,"Iguais")</f>
        <v>9</v>
      </c>
      <c r="H50" s="11" t="s">
        <v>160</v>
      </c>
      <c r="I50" s="9">
        <f>COUNTIF(I3:I47,"Iguais")</f>
        <v>1</v>
      </c>
    </row>
    <row r="51" spans="1:9" ht="21" x14ac:dyDescent="0.35">
      <c r="A51" s="55"/>
      <c r="B51" s="12" t="s">
        <v>190</v>
      </c>
      <c r="C51" s="10">
        <f>COUNTA(C3:C47)</f>
        <v>15</v>
      </c>
      <c r="D51" s="17" t="s">
        <v>190</v>
      </c>
      <c r="E51" s="10">
        <f>COUNTA(E3:E47)</f>
        <v>15</v>
      </c>
      <c r="F51" s="12" t="s">
        <v>190</v>
      </c>
      <c r="G51" s="10">
        <f>COUNTA(G3:G47)</f>
        <v>15</v>
      </c>
      <c r="H51" s="12" t="s">
        <v>190</v>
      </c>
      <c r="I51" s="10">
        <f>COUNTA(I3:I47)</f>
        <v>15</v>
      </c>
    </row>
    <row r="52" spans="1:9" ht="21.75" thickBot="1" x14ac:dyDescent="0.4">
      <c r="A52" s="56"/>
      <c r="B52" s="13" t="s">
        <v>191</v>
      </c>
      <c r="C52" s="19">
        <f>C50/C51</f>
        <v>0.93333333333333335</v>
      </c>
      <c r="D52" s="18" t="s">
        <v>191</v>
      </c>
      <c r="E52" s="19">
        <f>E50/E51</f>
        <v>0.73333333333333328</v>
      </c>
      <c r="F52" s="13" t="s">
        <v>191</v>
      </c>
      <c r="G52" s="19">
        <f>G50/G51</f>
        <v>0.6</v>
      </c>
      <c r="H52" s="13" t="s">
        <v>191</v>
      </c>
      <c r="I52" s="19">
        <f>I50/I51</f>
        <v>6.6666666666666666E-2</v>
      </c>
    </row>
  </sheetData>
  <mergeCells count="65">
    <mergeCell ref="C9:C10"/>
    <mergeCell ref="E9:E10"/>
    <mergeCell ref="G9:G10"/>
    <mergeCell ref="I9:I10"/>
    <mergeCell ref="C3:C4"/>
    <mergeCell ref="E3:E4"/>
    <mergeCell ref="G3:G4"/>
    <mergeCell ref="I3:I4"/>
    <mergeCell ref="C6:C7"/>
    <mergeCell ref="E6:E7"/>
    <mergeCell ref="G6:G7"/>
    <mergeCell ref="I6:I7"/>
    <mergeCell ref="C12:C13"/>
    <mergeCell ref="E12:E13"/>
    <mergeCell ref="G12:G13"/>
    <mergeCell ref="I12:I13"/>
    <mergeCell ref="C15:C16"/>
    <mergeCell ref="E15:E16"/>
    <mergeCell ref="G15:G16"/>
    <mergeCell ref="I15:I16"/>
    <mergeCell ref="C18:C19"/>
    <mergeCell ref="E18:E19"/>
    <mergeCell ref="G18:G19"/>
    <mergeCell ref="I18:I19"/>
    <mergeCell ref="C21:C22"/>
    <mergeCell ref="E21:E22"/>
    <mergeCell ref="G21:G22"/>
    <mergeCell ref="I21:I22"/>
    <mergeCell ref="C24:C25"/>
    <mergeCell ref="E24:E25"/>
    <mergeCell ref="G24:G25"/>
    <mergeCell ref="I24:I25"/>
    <mergeCell ref="C27:C28"/>
    <mergeCell ref="E27:E28"/>
    <mergeCell ref="G27:G28"/>
    <mergeCell ref="I27:I28"/>
    <mergeCell ref="C30:C31"/>
    <mergeCell ref="E30:E31"/>
    <mergeCell ref="G30:G31"/>
    <mergeCell ref="I30:I31"/>
    <mergeCell ref="C33:C34"/>
    <mergeCell ref="E33:E34"/>
    <mergeCell ref="G33:G34"/>
    <mergeCell ref="I33:I34"/>
    <mergeCell ref="C36:C37"/>
    <mergeCell ref="E36:E37"/>
    <mergeCell ref="G36:G37"/>
    <mergeCell ref="I36:I37"/>
    <mergeCell ref="C45:C46"/>
    <mergeCell ref="E45:E46"/>
    <mergeCell ref="G45:G46"/>
    <mergeCell ref="I45:I46"/>
    <mergeCell ref="C39:C40"/>
    <mergeCell ref="E39:E40"/>
    <mergeCell ref="G39:G40"/>
    <mergeCell ref="I39:I40"/>
    <mergeCell ref="C42:C43"/>
    <mergeCell ref="E42:E43"/>
    <mergeCell ref="G42:G43"/>
    <mergeCell ref="I42:I43"/>
    <mergeCell ref="A49:A52"/>
    <mergeCell ref="B49:C49"/>
    <mergeCell ref="D49:E49"/>
    <mergeCell ref="F49:G49"/>
    <mergeCell ref="H49:I49"/>
  </mergeCells>
  <conditionalFormatting sqref="C14:C38 C50:C1048576 G1 D1:E1 C1:C11 C45:C48">
    <cfRule type="cellIs" dxfId="50" priority="356" operator="equal">
      <formula>"Diferentes"</formula>
    </cfRule>
  </conditionalFormatting>
  <conditionalFormatting sqref="C12:C13">
    <cfRule type="cellIs" dxfId="49" priority="348" operator="equal">
      <formula>"Diferentes"</formula>
    </cfRule>
  </conditionalFormatting>
  <conditionalFormatting sqref="I3:I4">
    <cfRule type="cellIs" dxfId="48" priority="338" operator="equal">
      <formula>"Diferentes"</formula>
    </cfRule>
  </conditionalFormatting>
  <conditionalFormatting sqref="I6:I7">
    <cfRule type="cellIs" dxfId="47" priority="337" operator="equal">
      <formula>"Diferentes"</formula>
    </cfRule>
  </conditionalFormatting>
  <conditionalFormatting sqref="I1">
    <cfRule type="cellIs" dxfId="46" priority="252" operator="equal">
      <formula>"Diferentes"</formula>
    </cfRule>
  </conditionalFormatting>
  <conditionalFormatting sqref="I9:I10">
    <cfRule type="cellIs" dxfId="45" priority="335" operator="equal">
      <formula>"Diferentes"</formula>
    </cfRule>
  </conditionalFormatting>
  <conditionalFormatting sqref="I12:I13">
    <cfRule type="cellIs" dxfId="44" priority="334" operator="equal">
      <formula>"Diferentes"</formula>
    </cfRule>
  </conditionalFormatting>
  <conditionalFormatting sqref="I15:I16">
    <cfRule type="cellIs" dxfId="43" priority="333" operator="equal">
      <formula>"Diferentes"</formula>
    </cfRule>
  </conditionalFormatting>
  <conditionalFormatting sqref="I18:I19">
    <cfRule type="cellIs" dxfId="42" priority="332" operator="equal">
      <formula>"Diferentes"</formula>
    </cfRule>
  </conditionalFormatting>
  <conditionalFormatting sqref="I21:I22">
    <cfRule type="cellIs" dxfId="41" priority="331" operator="equal">
      <formula>"Diferentes"</formula>
    </cfRule>
  </conditionalFormatting>
  <conditionalFormatting sqref="I24:I25">
    <cfRule type="cellIs" dxfId="40" priority="330" operator="equal">
      <formula>"Diferentes"</formula>
    </cfRule>
  </conditionalFormatting>
  <conditionalFormatting sqref="I27:I28">
    <cfRule type="cellIs" dxfId="39" priority="329" operator="equal">
      <formula>"Diferentes"</formula>
    </cfRule>
  </conditionalFormatting>
  <conditionalFormatting sqref="I30:I31">
    <cfRule type="cellIs" dxfId="38" priority="328" operator="equal">
      <formula>"Diferentes"</formula>
    </cfRule>
  </conditionalFormatting>
  <conditionalFormatting sqref="I33:I34">
    <cfRule type="cellIs" dxfId="37" priority="327" operator="equal">
      <formula>"Diferentes"</formula>
    </cfRule>
  </conditionalFormatting>
  <conditionalFormatting sqref="I36:I37">
    <cfRule type="cellIs" dxfId="36" priority="326" operator="equal">
      <formula>"Diferentes"</formula>
    </cfRule>
  </conditionalFormatting>
  <conditionalFormatting sqref="I45:I46">
    <cfRule type="cellIs" dxfId="35" priority="325" operator="equal">
      <formula>"Diferentes"</formula>
    </cfRule>
  </conditionalFormatting>
  <conditionalFormatting sqref="G3:G4">
    <cfRule type="cellIs" dxfId="34" priority="237" operator="equal">
      <formula>"Diferentes"</formula>
    </cfRule>
  </conditionalFormatting>
  <conditionalFormatting sqref="G6:G7">
    <cfRule type="cellIs" dxfId="33" priority="236" operator="equal">
      <formula>"Diferentes"</formula>
    </cfRule>
  </conditionalFormatting>
  <conditionalFormatting sqref="G9:G10">
    <cfRule type="cellIs" dxfId="32" priority="234" operator="equal">
      <formula>"Diferentes"</formula>
    </cfRule>
  </conditionalFormatting>
  <conditionalFormatting sqref="G12:G13">
    <cfRule type="cellIs" dxfId="31" priority="233" operator="equal">
      <formula>"Diferentes"</formula>
    </cfRule>
  </conditionalFormatting>
  <conditionalFormatting sqref="G15:G16">
    <cfRule type="cellIs" dxfId="30" priority="232" operator="equal">
      <formula>"Diferentes"</formula>
    </cfRule>
  </conditionalFormatting>
  <conditionalFormatting sqref="G18:G19">
    <cfRule type="cellIs" dxfId="29" priority="231" operator="equal">
      <formula>"Diferentes"</formula>
    </cfRule>
  </conditionalFormatting>
  <conditionalFormatting sqref="G21:G22">
    <cfRule type="cellIs" dxfId="28" priority="230" operator="equal">
      <formula>"Diferentes"</formula>
    </cfRule>
  </conditionalFormatting>
  <conditionalFormatting sqref="G24:G25">
    <cfRule type="cellIs" dxfId="27" priority="229" operator="equal">
      <formula>"Diferentes"</formula>
    </cfRule>
  </conditionalFormatting>
  <conditionalFormatting sqref="G27:G28">
    <cfRule type="cellIs" dxfId="26" priority="228" operator="equal">
      <formula>"Diferentes"</formula>
    </cfRule>
  </conditionalFormatting>
  <conditionalFormatting sqref="G30:G31">
    <cfRule type="cellIs" dxfId="25" priority="227" operator="equal">
      <formula>"Diferentes"</formula>
    </cfRule>
  </conditionalFormatting>
  <conditionalFormatting sqref="G33:G34">
    <cfRule type="cellIs" dxfId="24" priority="226" operator="equal">
      <formula>"Diferentes"</formula>
    </cfRule>
  </conditionalFormatting>
  <conditionalFormatting sqref="G36:G37">
    <cfRule type="cellIs" dxfId="23" priority="225" operator="equal">
      <formula>"Diferentes"</formula>
    </cfRule>
  </conditionalFormatting>
  <conditionalFormatting sqref="G45:G46">
    <cfRule type="cellIs" dxfId="22" priority="224" operator="equal">
      <formula>"Diferentes"</formula>
    </cfRule>
  </conditionalFormatting>
  <conditionalFormatting sqref="G50:G52 I50:I52">
    <cfRule type="cellIs" dxfId="21" priority="151" operator="equal">
      <formula>"Diferentes"</formula>
    </cfRule>
  </conditionalFormatting>
  <conditionalFormatting sqref="E3:E4">
    <cfRule type="cellIs" dxfId="20" priority="150" operator="equal">
      <formula>"Diferentes"</formula>
    </cfRule>
  </conditionalFormatting>
  <conditionalFormatting sqref="E6:E7">
    <cfRule type="cellIs" dxfId="19" priority="149" operator="equal">
      <formula>"Diferentes"</formula>
    </cfRule>
  </conditionalFormatting>
  <conditionalFormatting sqref="E9:E10">
    <cfRule type="cellIs" dxfId="18" priority="147" operator="equal">
      <formula>"Diferentes"</formula>
    </cfRule>
  </conditionalFormatting>
  <conditionalFormatting sqref="E12:E13">
    <cfRule type="cellIs" dxfId="17" priority="146" operator="equal">
      <formula>"Diferentes"</formula>
    </cfRule>
  </conditionalFormatting>
  <conditionalFormatting sqref="E15:E16">
    <cfRule type="cellIs" dxfId="16" priority="145" operator="equal">
      <formula>"Diferentes"</formula>
    </cfRule>
  </conditionalFormatting>
  <conditionalFormatting sqref="E18:E19">
    <cfRule type="cellIs" dxfId="15" priority="144" operator="equal">
      <formula>"Diferentes"</formula>
    </cfRule>
  </conditionalFormatting>
  <conditionalFormatting sqref="E21:E22">
    <cfRule type="cellIs" dxfId="14" priority="143" operator="equal">
      <formula>"Diferentes"</formula>
    </cfRule>
  </conditionalFormatting>
  <conditionalFormatting sqref="E24:E25">
    <cfRule type="cellIs" dxfId="13" priority="142" operator="equal">
      <formula>"Diferentes"</formula>
    </cfRule>
  </conditionalFormatting>
  <conditionalFormatting sqref="E27:E28">
    <cfRule type="cellIs" dxfId="12" priority="141" operator="equal">
      <formula>"Diferentes"</formula>
    </cfRule>
  </conditionalFormatting>
  <conditionalFormatting sqref="E30:E31">
    <cfRule type="cellIs" dxfId="11" priority="140" operator="equal">
      <formula>"Diferentes"</formula>
    </cfRule>
  </conditionalFormatting>
  <conditionalFormatting sqref="E33:E34">
    <cfRule type="cellIs" dxfId="10" priority="139" operator="equal">
      <formula>"Diferentes"</formula>
    </cfRule>
  </conditionalFormatting>
  <conditionalFormatting sqref="E36:E37">
    <cfRule type="cellIs" dxfId="9" priority="138" operator="equal">
      <formula>"Diferentes"</formula>
    </cfRule>
  </conditionalFormatting>
  <conditionalFormatting sqref="E45:E46">
    <cfRule type="cellIs" dxfId="8" priority="137" operator="equal">
      <formula>"Diferentes"</formula>
    </cfRule>
  </conditionalFormatting>
  <conditionalFormatting sqref="E50:E52">
    <cfRule type="cellIs" dxfId="7" priority="64" operator="equal">
      <formula>"Diferentes"</formula>
    </cfRule>
  </conditionalFormatting>
  <conditionalFormatting sqref="C39:C44">
    <cfRule type="cellIs" dxfId="6" priority="7" operator="equal">
      <formula>"Diferentes"</formula>
    </cfRule>
  </conditionalFormatting>
  <conditionalFormatting sqref="I39:I40">
    <cfRule type="cellIs" dxfId="5" priority="6" operator="equal">
      <formula>"Diferentes"</formula>
    </cfRule>
  </conditionalFormatting>
  <conditionalFormatting sqref="I42:I43">
    <cfRule type="cellIs" dxfId="4" priority="5" operator="equal">
      <formula>"Diferentes"</formula>
    </cfRule>
  </conditionalFormatting>
  <conditionalFormatting sqref="G39:G40">
    <cfRule type="cellIs" dxfId="3" priority="4" operator="equal">
      <formula>"Diferentes"</formula>
    </cfRule>
  </conditionalFormatting>
  <conditionalFormatting sqref="G42:G43">
    <cfRule type="cellIs" dxfId="2" priority="3" operator="equal">
      <formula>"Diferentes"</formula>
    </cfRule>
  </conditionalFormatting>
  <conditionalFormatting sqref="E39:E40">
    <cfRule type="cellIs" dxfId="1" priority="2" operator="equal">
      <formula>"Diferentes"</formula>
    </cfRule>
  </conditionalFormatting>
  <conditionalFormatting sqref="E42:E43">
    <cfRule type="cellIs" dxfId="0" priority="1" operator="equal">
      <formula>"Diferentes"</formula>
    </cfRule>
  </conditionalFormatting>
  <hyperlinks>
    <hyperlink ref="A39" r:id="rId1" display="https://www.dicionariodenomesproprios.com.br/fuyuki/" xr:uid="{00000000-0004-0000-0300-000000000000}"/>
  </hyperlinks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Entrada</vt:lpstr>
      <vt:lpstr>Plan1</vt:lpstr>
      <vt:lpstr>Plan2</vt:lpstr>
      <vt:lpstr>Nomes Japones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x250993</dc:creator>
  <cp:lastModifiedBy>Rogerio Rodrigues Lima</cp:lastModifiedBy>
  <dcterms:created xsi:type="dcterms:W3CDTF">2017-04-12T13:26:54Z</dcterms:created>
  <dcterms:modified xsi:type="dcterms:W3CDTF">2024-03-26T16:40:27Z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c67a40cf-91df-45a1-9e5a-ee5571e2fbf6</vt:lpwstr>
  </property>
</Properties>
</file>